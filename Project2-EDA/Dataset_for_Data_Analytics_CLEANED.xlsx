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8C3855-E903-4ED9-9D17-D140F9C2C8C3}" xr6:coauthVersionLast="47" xr6:coauthVersionMax="47" xr10:uidLastSave="{00000000-0000-0000-0000-000000000000}"/>
  <bookViews>
    <workbookView xWindow="-110" yWindow="-110" windowWidth="19420" windowHeight="11020" tabRatio="601" xr2:uid="{00000000-000D-0000-FFFF-FFFF00000000}"/>
  </bookViews>
  <sheets>
    <sheet name="Pivot_Trends." sheetId="3" r:id="rId1"/>
    <sheet name="Sheet1" sheetId="1" r:id="rId2"/>
    <sheet name="EDA_Summary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2" i="1"/>
  <c r="P1" i="1"/>
  <c r="E4" i="2"/>
  <c r="D4" i="2"/>
  <c r="C4" i="2"/>
  <c r="B4" i="2"/>
  <c r="E3" i="2"/>
  <c r="D3" i="2"/>
  <c r="C3" i="2"/>
  <c r="B3" i="2"/>
  <c r="D2" i="2"/>
  <c r="E2" i="2"/>
  <c r="C2" i="2"/>
  <c r="B2" i="2"/>
</calcChain>
</file>

<file path=xl/sharedStrings.xml><?xml version="1.0" encoding="utf-8"?>
<sst xmlns="http://schemas.openxmlformats.org/spreadsheetml/2006/main" count="10836" uniqueCount="4301">
  <si>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</si>
  <si>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</si>
  <si>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</si>
  <si>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</si>
  <si>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</si>
  <si>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</si>
  <si>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</si>
  <si>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</si>
  <si>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</si>
  <si>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</si>
  <si>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</si>
  <si>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</si>
  <si>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</si>
  <si>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</si>
  <si>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</si>
  <si>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</si>
  <si>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</si>
  <si>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</si>
  <si>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</si>
  <si>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</si>
  <si>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</si>
  <si>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</si>
  <si>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</si>
  <si>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</si>
  <si>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</si>
  <si>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</si>
  <si>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</si>
  <si>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</si>
  <si>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</si>
  <si>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</si>
  <si>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</si>
  <si>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</si>
  <si>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</si>
  <si>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</si>
  <si>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</si>
  <si>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</si>
  <si>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</si>
  <si>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</si>
  <si>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</si>
  <si>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</si>
  <si>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</si>
  <si>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</si>
  <si>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</si>
  <si>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</si>
  <si>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</si>
  <si>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</si>
  <si>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</si>
  <si>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</si>
  <si>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</si>
  <si>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</si>
  <si>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</si>
  <si>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</si>
  <si>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</si>
  <si>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</si>
  <si>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</si>
  <si>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</si>
  <si>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</si>
  <si>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</si>
  <si>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</si>
  <si>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</si>
  <si>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</si>
  <si>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</si>
  <si>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</si>
  <si>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</si>
  <si>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</si>
  <si>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</si>
  <si>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</si>
  <si>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</si>
  <si>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</si>
  <si>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</si>
  <si>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</si>
  <si>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</si>
  <si>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</si>
  <si>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</si>
  <si>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</si>
  <si>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</si>
  <si>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</si>
  <si>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</si>
  <si>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</si>
  <si>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</si>
  <si>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</si>
  <si>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</si>
  <si>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</si>
  <si>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</si>
  <si>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</si>
  <si>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</si>
  <si>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</si>
  <si>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</si>
  <si>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</si>
  <si>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</si>
  <si>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</si>
  <si>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</si>
  <si>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</si>
  <si>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</si>
  <si>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</si>
  <si>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</si>
  <si>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</si>
  <si>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</si>
  <si>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</si>
  <si>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</si>
  <si>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</si>
  <si>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</si>
  <si>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</si>
  <si>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</si>
  <si>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</si>
  <si>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</si>
  <si>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</si>
  <si>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</si>
  <si>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</si>
  <si>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</si>
  <si>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</si>
  <si>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</si>
  <si>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</si>
  <si>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</si>
  <si>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</si>
  <si>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</si>
  <si>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</si>
  <si>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</si>
  <si>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</si>
  <si>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</si>
  <si>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</si>
  <si>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</si>
  <si>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</si>
  <si>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</si>
  <si>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</si>
  <si>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</si>
  <si>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</si>
  <si>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</si>
  <si>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</si>
  <si>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</si>
  <si>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</si>
  <si>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</si>
  <si>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</si>
  <si>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</si>
  <si>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</si>
  <si>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</si>
  <si>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</si>
  <si>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</si>
  <si>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</si>
  <si>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</si>
  <si>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</si>
  <si>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</si>
  <si>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</si>
  <si>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</si>
  <si>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</si>
  <si>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</si>
  <si>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</si>
  <si>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</si>
  <si>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</si>
  <si>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</si>
  <si>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</si>
  <si>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</si>
  <si>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</si>
  <si>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</si>
  <si>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</si>
  <si>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</si>
  <si>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</si>
  <si>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</si>
  <si>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</si>
  <si>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</si>
  <si>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</si>
  <si>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</si>
  <si>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</si>
  <si>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</si>
  <si>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</si>
  <si>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</si>
  <si>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</si>
  <si>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</si>
  <si>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</si>
  <si>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</si>
  <si>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</si>
  <si>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</si>
  <si>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</si>
  <si>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</si>
  <si>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</si>
  <si>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</si>
  <si>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</si>
  <si>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</si>
  <si>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</si>
  <si>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</si>
  <si>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</si>
  <si>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</si>
  <si>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</si>
  <si>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</si>
  <si>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</si>
  <si>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</si>
  <si>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</si>
  <si>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</si>
  <si>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</si>
  <si>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</si>
  <si>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</si>
  <si>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</si>
  <si>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</si>
  <si>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</si>
  <si>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</si>
  <si>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</si>
  <si>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</si>
  <si>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</si>
  <si>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</si>
  <si>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</si>
  <si>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</si>
  <si>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</si>
  <si>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</si>
  <si>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</si>
  <si>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</si>
  <si>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</si>
  <si>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</si>
  <si>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</si>
  <si>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</si>
  <si>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</si>
  <si>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</si>
  <si>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</si>
  <si>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</si>
  <si>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</si>
  <si>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</si>
  <si>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</si>
  <si>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</si>
  <si>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</si>
  <si>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</si>
  <si>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</si>
  <si>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</si>
  <si>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</si>
  <si>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</si>
  <si>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</si>
  <si>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</si>
  <si>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</si>
  <si>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</si>
  <si>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</si>
  <si>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</si>
  <si>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</si>
  <si>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</si>
  <si>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</si>
  <si>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</si>
  <si>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</si>
  <si>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</si>
  <si>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</si>
  <si>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</si>
  <si>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</si>
  <si>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</si>
  <si>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</si>
  <si>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</si>
  <si>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</si>
  <si>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</si>
  <si>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</si>
  <si>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</si>
  <si>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</si>
  <si>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</si>
  <si>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</si>
  <si>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</si>
  <si>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</si>
  <si>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</si>
  <si>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</si>
  <si>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</si>
  <si>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</si>
  <si>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</si>
  <si>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</si>
  <si>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</si>
  <si>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</si>
  <si>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</si>
  <si>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</si>
  <si>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</si>
  <si>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</si>
  <si>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</si>
  <si>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</si>
  <si>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</si>
  <si>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</si>
  <si>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</si>
  <si>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</si>
  <si>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</si>
  <si>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</si>
  <si>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</si>
  <si>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</si>
  <si>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</si>
  <si>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</si>
  <si>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</si>
  <si>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</si>
  <si>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</si>
  <si>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</si>
  <si>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</si>
  <si>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</si>
  <si>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</si>
  <si>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</si>
  <si>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</si>
  <si>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</si>
  <si>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</si>
  <si>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</si>
  <si>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</si>
  <si>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</si>
  <si>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</si>
  <si>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</si>
  <si>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</si>
  <si>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</si>
  <si>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</si>
  <si>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</si>
  <si>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</si>
  <si>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</si>
  <si>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</si>
  <si>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</si>
  <si>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</si>
  <si>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</si>
  <si>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</si>
  <si>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</si>
  <si>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</si>
  <si>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</si>
  <si>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</si>
  <si>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</si>
  <si>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</si>
  <si>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</si>
  <si>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</si>
  <si>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</si>
  <si>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</si>
  <si>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</si>
  <si>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</si>
  <si>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</si>
  <si>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</si>
  <si>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</si>
  <si>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</si>
  <si>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</si>
  <si>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</si>
  <si>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</si>
  <si>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</si>
  <si>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</si>
  <si>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</si>
  <si>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</si>
  <si>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</si>
  <si>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</si>
  <si>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</si>
  <si>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</si>
  <si>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</si>
  <si>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</si>
  <si>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</si>
  <si>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</si>
  <si>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</si>
  <si>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</si>
  <si>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</si>
  <si>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</si>
  <si>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</si>
  <si>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</si>
  <si>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</si>
  <si>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</si>
  <si>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</si>
  <si>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</si>
  <si>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</si>
  <si>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</si>
  <si>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</si>
  <si>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</si>
  <si>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</si>
  <si>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</si>
  <si>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</si>
  <si>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</si>
  <si>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</si>
  <si>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</si>
  <si>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</si>
  <si>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</si>
  <si>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</si>
  <si>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</si>
  <si>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</si>
  <si>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</si>
  <si>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</si>
  <si>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</si>
  <si>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</si>
  <si>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</si>
  <si>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</si>
  <si>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</si>
  <si>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</si>
  <si>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</si>
  <si>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</si>
  <si>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</si>
  <si>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</si>
  <si>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</si>
  <si>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</si>
  <si>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</si>
  <si>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</si>
  <si>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</si>
  <si>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</si>
  <si>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</si>
  <si>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</si>
  <si>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</si>
  <si>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</si>
  <si>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</si>
  <si>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</si>
  <si>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</si>
  <si>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</si>
  <si>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</si>
  <si>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</si>
  <si>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</si>
  <si>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</si>
  <si>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</si>
  <si>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</si>
  <si>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</si>
  <si>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</si>
  <si>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</si>
  <si>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</si>
  <si>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</si>
  <si>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</si>
  <si>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</si>
  <si>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</si>
  <si>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</si>
  <si>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</si>
  <si>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</si>
  <si>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</si>
  <si>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</si>
  <si>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</si>
  <si>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</si>
  <si>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</si>
  <si>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</si>
  <si>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</si>
  <si>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</si>
  <si>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</si>
  <si>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</si>
  <si>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</si>
  <si>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</si>
  <si>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</si>
  <si>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</si>
  <si>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</si>
  <si>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</si>
  <si>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</si>
  <si>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</si>
  <si>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</si>
  <si>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</si>
  <si>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</si>
  <si>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</si>
  <si>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</si>
  <si>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</si>
  <si>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</si>
  <si>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</si>
  <si>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</si>
  <si>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</si>
  <si>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</si>
  <si>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</si>
  <si>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</si>
  <si>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</si>
  <si>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</si>
  <si>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</si>
  <si>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</si>
  <si>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</si>
  <si>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</si>
  <si>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</si>
  <si>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</si>
  <si>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</si>
  <si>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</si>
  <si>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</si>
  <si>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</si>
  <si>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</si>
  <si>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</si>
  <si>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</si>
  <si>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</si>
  <si>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</si>
  <si>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</si>
  <si>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</si>
  <si>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</si>
  <si>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</si>
  <si>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</si>
  <si>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</si>
  <si>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</si>
  <si>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</si>
  <si>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</si>
  <si>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</si>
  <si>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</si>
  <si>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</si>
  <si>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</si>
  <si>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</si>
  <si>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</si>
  <si>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</si>
  <si>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</si>
  <si>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</si>
  <si>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</si>
  <si>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</si>
  <si>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</si>
  <si>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</si>
  <si>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</si>
  <si>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</si>
  <si>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</si>
  <si>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</si>
  <si>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</si>
  <si>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</si>
  <si>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</si>
  <si>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</si>
  <si>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</si>
  <si>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</si>
  <si>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</si>
  <si>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</si>
  <si>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</si>
  <si>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</si>
  <si>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</si>
  <si>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</si>
  <si>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</si>
  <si>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</si>
  <si>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</si>
  <si>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</si>
  <si>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</si>
  <si>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</si>
  <si>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</si>
  <si>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</si>
  <si>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</si>
  <si>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</si>
  <si>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</si>
  <si>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</si>
  <si>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</si>
  <si>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</si>
  <si>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</si>
  <si>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</si>
  <si>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</si>
  <si>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</si>
  <si>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</si>
  <si>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</si>
  <si>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</si>
  <si>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</si>
  <si>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</si>
  <si>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</si>
  <si>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</si>
  <si>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</si>
  <si>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</si>
  <si>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</si>
  <si>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</si>
  <si>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</si>
  <si>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</si>
  <si>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</si>
  <si>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</si>
  <si>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</si>
  <si>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</si>
  <si>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</si>
  <si>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</si>
  <si>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</si>
  <si>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</si>
  <si>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</si>
  <si>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</si>
  <si>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</si>
  <si>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</si>
  <si>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</si>
  <si>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</si>
  <si>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</si>
  <si>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</si>
  <si>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</si>
  <si>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</si>
  <si>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</si>
  <si>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</si>
  <si>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</si>
  <si>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</si>
  <si>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</si>
  <si>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</si>
  <si>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</si>
  <si>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</si>
  <si>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</si>
  <si>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</si>
  <si>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</si>
  <si>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</si>
  <si>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</si>
  <si>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</si>
  <si>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</si>
  <si>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</si>
  <si>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</si>
  <si>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</si>
  <si>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</si>
  <si>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</si>
  <si>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</si>
  <si>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</si>
  <si>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</si>
  <si>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</si>
  <si>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</si>
  <si>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</si>
  <si>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</si>
  <si>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</si>
  <si>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</si>
  <si>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</si>
  <si>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</si>
  <si>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</si>
  <si>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</si>
  <si>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</si>
  <si>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</si>
  <si>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</si>
  <si>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</si>
  <si>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</si>
  <si>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</si>
  <si>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</si>
  <si>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</si>
  <si>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</si>
  <si>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</si>
  <si>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</si>
  <si>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</si>
  <si>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</si>
  <si>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</si>
  <si>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</si>
  <si>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</si>
  <si>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</si>
  <si>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</si>
  <si>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</si>
  <si>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</si>
  <si>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</si>
  <si>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</si>
  <si>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</si>
  <si>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</si>
  <si>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</si>
  <si>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</si>
  <si>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</si>
  <si>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</si>
  <si>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</si>
  <si>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</si>
  <si>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</si>
  <si>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</si>
  <si>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</si>
  <si>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</si>
  <si>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</si>
  <si>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</si>
  <si>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</si>
  <si>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</si>
  <si>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</si>
  <si>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</si>
  <si>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</si>
  <si>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</si>
  <si>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</si>
  <si>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</si>
  <si>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</si>
  <si>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</si>
  <si>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</si>
  <si>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</si>
  <si>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</si>
  <si>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</si>
  <si>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</si>
  <si>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</si>
  <si>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</si>
  <si>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</si>
  <si>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</si>
  <si>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</si>
  <si>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</si>
  <si>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</si>
  <si>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</si>
  <si>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</si>
  <si>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</si>
  <si>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</si>
  <si>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</si>
  <si>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</si>
  <si>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</si>
  <si>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</si>
  <si>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</si>
  <si>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</si>
  <si>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</si>
  <si>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</si>
  <si>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</si>
  <si>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</si>
  <si>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</si>
  <si>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</si>
  <si>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</si>
  <si>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</si>
  <si>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</si>
  <si>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</si>
  <si>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</si>
  <si>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</si>
  <si>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</si>
  <si>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</si>
  <si>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</si>
  <si>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</si>
  <si>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</si>
  <si>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</si>
  <si>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</si>
  <si>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</si>
  <si>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</si>
  <si>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</si>
  <si>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</si>
  <si>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</si>
  <si>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</si>
  <si>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</si>
  <si>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</si>
  <si>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</si>
  <si>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</si>
  <si>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</si>
  <si>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</si>
  <si>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</si>
  <si>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</si>
  <si>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</si>
  <si>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</si>
  <si>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</si>
  <si>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</si>
  <si>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</si>
  <si>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</si>
  <si>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</si>
  <si>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</si>
  <si>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</si>
  <si>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</si>
  <si>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</si>
  <si>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</si>
  <si>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</si>
  <si>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</si>
  <si>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</si>
  <si>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</si>
  <si>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</si>
  <si>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</si>
  <si>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</si>
  <si>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</si>
  <si>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</si>
  <si>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</si>
  <si>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</si>
  <si>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</si>
  <si>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</si>
  <si>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</si>
  <si>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</si>
  <si>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</si>
  <si>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</si>
  <si>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</si>
  <si>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</si>
  <si>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</si>
  <si>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</si>
  <si>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</si>
  <si>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</si>
  <si>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</si>
  <si>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</si>
  <si>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</si>
  <si>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</si>
  <si>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</si>
  <si>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</si>
  <si>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</si>
  <si>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</si>
  <si>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</si>
  <si>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</si>
  <si>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</si>
  <si>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</si>
  <si>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</si>
  <si>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</si>
  <si>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</si>
  <si>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</si>
  <si>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</si>
  <si>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</si>
  <si>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</si>
  <si>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</si>
  <si>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</si>
  <si>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</si>
  <si>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</si>
  <si>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</si>
  <si>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</si>
  <si>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</si>
  <si>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</si>
  <si>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</si>
  <si>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</si>
  <si>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</si>
  <si>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</si>
  <si>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</si>
  <si>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</si>
  <si>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</si>
  <si>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</si>
  <si>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</si>
  <si>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</si>
  <si>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</si>
  <si>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</si>
  <si>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</si>
  <si>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</si>
  <si>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</si>
  <si>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</si>
  <si>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</si>
  <si>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</si>
  <si>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</si>
  <si>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</si>
  <si>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</si>
  <si>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</si>
  <si>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</si>
  <si>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</si>
  <si>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</si>
  <si>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</si>
  <si>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</si>
  <si>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</si>
  <si>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</si>
  <si>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</si>
  <si>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</si>
  <si>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</si>
  <si>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</si>
  <si>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</si>
  <si>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</si>
  <si>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</si>
  <si>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</si>
  <si>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</si>
  <si>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</si>
  <si>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</si>
  <si>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</si>
  <si>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</si>
  <si>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</si>
  <si>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</si>
  <si>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</si>
  <si>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</si>
  <si>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</si>
  <si>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</si>
  <si>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</si>
  <si>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</si>
  <si>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</si>
  <si>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</si>
  <si>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</si>
  <si>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</si>
  <si>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</si>
  <si>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</si>
  <si>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</si>
  <si>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</si>
  <si>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</si>
  <si>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</si>
  <si>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</si>
  <si>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</si>
  <si>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</si>
  <si>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</si>
  <si>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</si>
  <si>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</si>
  <si>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</si>
  <si>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</si>
  <si>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</si>
  <si>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</si>
  <si>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</si>
  <si>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</si>
  <si>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</si>
  <si>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</si>
  <si>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</si>
  <si>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</si>
  <si>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</si>
  <si>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</si>
  <si>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</si>
  <si>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</si>
  <si>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</si>
  <si>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</si>
  <si>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</si>
  <si>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</si>
  <si>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</si>
  <si>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</si>
  <si>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</si>
  <si>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</si>
  <si>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</si>
  <si>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</si>
  <si>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</si>
  <si>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</si>
  <si>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</si>
  <si>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</si>
  <si>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</si>
  <si>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</si>
  <si>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</si>
  <si>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</si>
  <si>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</si>
  <si>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</si>
  <si>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</si>
  <si>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</si>
  <si>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</si>
  <si>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</si>
  <si>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</si>
  <si>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</si>
  <si>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</si>
  <si>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</si>
  <si>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</si>
  <si>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</si>
  <si>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</si>
  <si>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</si>
  <si>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</si>
  <si>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</si>
  <si>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</si>
  <si>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</si>
  <si>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</si>
  <si>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</si>
  <si>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</si>
  <si>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</si>
  <si>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</si>
  <si>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</si>
  <si>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</si>
  <si>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</si>
  <si>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</si>
  <si>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</si>
  <si>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</si>
  <si>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</si>
  <si>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</si>
  <si>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</si>
  <si>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</si>
  <si>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</si>
  <si>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</si>
  <si>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</si>
  <si>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</si>
  <si>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</si>
  <si>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</si>
  <si>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</si>
  <si>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</si>
  <si>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</si>
  <si>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</si>
  <si>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</si>
  <si>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</si>
  <si>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</si>
  <si>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</si>
  <si>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</si>
  <si>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</si>
  <si>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</si>
  <si>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</si>
  <si>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</si>
  <si>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</si>
  <si>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</si>
  <si>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</si>
  <si>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</si>
  <si>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</si>
  <si>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</si>
  <si>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</si>
  <si>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</si>
  <si>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</si>
  <si>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</si>
  <si>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</si>
  <si>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</si>
  <si>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</si>
  <si>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</si>
  <si>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</si>
  <si>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</si>
  <si>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</si>
  <si>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</si>
  <si>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</si>
  <si>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</si>
  <si>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</si>
  <si>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</si>
  <si>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</si>
  <si>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</si>
  <si>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</si>
  <si>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</si>
  <si>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</si>
  <si>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</si>
  <si>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</si>
  <si>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</si>
  <si>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</si>
  <si>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</si>
  <si>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</si>
  <si>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</si>
  <si>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</si>
  <si>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</si>
  <si>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</si>
  <si>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</si>
  <si>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</si>
  <si>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</si>
  <si>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</si>
  <si>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</si>
  <si>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</si>
  <si>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</si>
  <si>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</si>
  <si>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</si>
  <si>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</si>
  <si>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</si>
  <si>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</si>
  <si>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</si>
  <si>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</si>
  <si>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</si>
  <si>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</si>
  <si>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</si>
  <si>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</si>
  <si>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</si>
  <si>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</si>
  <si>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</si>
  <si>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</si>
  <si>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</si>
  <si>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</si>
  <si>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</si>
  <si>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</si>
  <si>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</si>
  <si>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</si>
  <si>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</si>
  <si>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</si>
  <si>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</si>
  <si>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</si>
  <si>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</si>
  <si>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</si>
  <si>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</si>
  <si>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</si>
  <si>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</si>
  <si>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</si>
  <si>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</si>
  <si>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</si>
  <si>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</si>
  <si>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</si>
  <si>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</si>
  <si>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</si>
  <si>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</si>
  <si>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</si>
  <si>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</si>
  <si>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</si>
  <si>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</si>
  <si>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</si>
  <si>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</si>
  <si>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</si>
  <si>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</si>
  <si>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</si>
  <si>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</si>
  <si>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</si>
  <si>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</si>
  <si>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</si>
  <si>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</si>
  <si>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</si>
  <si>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</si>
  <si>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</si>
  <si>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</si>
  <si>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</si>
  <si>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</si>
  <si>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</si>
  <si>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</si>
  <si>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</si>
  <si>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</si>
  <si>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</si>
  <si>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</si>
  <si>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</si>
  <si>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</si>
  <si>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</si>
  <si>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</si>
  <si>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</si>
  <si>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</si>
  <si>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</si>
  <si>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</si>
  <si>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</si>
  <si>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</si>
  <si>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</si>
  <si>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</si>
  <si>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</si>
  <si>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</si>
  <si>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</si>
  <si>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</si>
  <si>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</si>
  <si>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</si>
  <si>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</si>
  <si>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</si>
  <si>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</si>
  <si>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</si>
  <si>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</si>
  <si>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</si>
  <si>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</si>
  <si>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</si>
  <si>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</si>
  <si>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</si>
  <si>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</si>
  <si>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</si>
  <si>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</si>
  <si>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</si>
  <si>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</si>
  <si>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</si>
  <si>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</si>
  <si>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</si>
  <si>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</si>
  <si>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</si>
  <si>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</si>
  <si>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</si>
  <si>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</si>
  <si>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</si>
  <si>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</si>
  <si>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</si>
  <si>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</si>
  <si>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</si>
  <si>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</si>
  <si>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</si>
  <si>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</si>
  <si>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</si>
  <si>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</si>
  <si>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</si>
  <si>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</si>
  <si>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</si>
  <si>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</si>
  <si>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</si>
  <si>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</si>
  <si>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</si>
  <si>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</si>
  <si>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</si>
  <si>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</si>
  <si>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</si>
  <si>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</si>
  <si>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</si>
  <si>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</si>
  <si>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</si>
  <si>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</si>
  <si>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</si>
  <si>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</si>
  <si>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</si>
  <si>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</si>
  <si>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</si>
  <si>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</si>
  <si>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</si>
  <si>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</si>
  <si>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</si>
  <si>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</si>
  <si>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</si>
  <si>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</si>
  <si>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</si>
  <si>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</si>
  <si>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</si>
  <si>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</si>
  <si>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</si>
  <si>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</si>
  <si>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</si>
  <si>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</si>
  <si>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</si>
  <si>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</si>
  <si>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</si>
  <si>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</si>
  <si>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</si>
  <si>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</si>
  <si>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</si>
  <si>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</si>
  <si>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</si>
  <si>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</si>
  <si>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</si>
  <si>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</si>
  <si>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</si>
  <si>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</si>
  <si>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</si>
  <si>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</si>
  <si>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</si>
  <si>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</si>
  <si>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</si>
  <si>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</si>
  <si>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</si>
  <si>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</si>
  <si>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</si>
  <si>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</si>
  <si>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</si>
  <si>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</si>
  <si>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</si>
  <si>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</si>
  <si>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</si>
  <si>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</si>
  <si>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</si>
  <si>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</si>
  <si>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</si>
  <si>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</si>
  <si>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</si>
  <si>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</si>
  <si>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</si>
  <si>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</si>
  <si>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</si>
  <si>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</si>
  <si>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</si>
  <si>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</si>
  <si>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</si>
  <si>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</si>
  <si>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</si>
  <si>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</si>
  <si>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</si>
  <si>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</si>
  <si>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</si>
  <si>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</si>
  <si>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</si>
  <si>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</si>
  <si>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</si>
  <si>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</si>
  <si>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</si>
  <si>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</si>
  <si>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</si>
  <si>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</si>
  <si>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</si>
  <si>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</si>
  <si>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</si>
  <si>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</si>
  <si>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</si>
  <si>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</si>
  <si>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</si>
  <si>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</si>
  <si>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</si>
  <si>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</si>
  <si>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</si>
  <si>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</si>
  <si>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</si>
  <si>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</si>
  <si>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</si>
  <si>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</si>
  <si>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</si>
  <si>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</si>
  <si>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</si>
  <si>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</si>
  <si>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</si>
  <si>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</si>
  <si>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</si>
  <si>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</si>
  <si>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</si>
  <si>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</si>
  <si>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</si>
  <si>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</si>
  <si>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</si>
  <si>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</si>
  <si>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</si>
  <si>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</si>
  <si>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</si>
  <si>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</si>
  <si>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</si>
  <si>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</si>
  <si>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</si>
  <si>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</si>
  <si>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</si>
  <si>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</si>
  <si>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</si>
  <si>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</si>
  <si>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</si>
  <si>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</si>
  <si>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</si>
  <si>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</si>
  <si>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</si>
  <si>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</si>
  <si>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</si>
  <si>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</si>
  <si>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</si>
  <si>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</si>
  <si>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</si>
  <si>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</si>
  <si>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</si>
  <si>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</si>
  <si>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</si>
  <si>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</si>
  <si>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</si>
  <si>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</si>
  <si>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</si>
  <si>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</si>
  <si>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</si>
  <si>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</si>
  <si>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</si>
  <si>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</si>
  <si>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</si>
  <si>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</si>
  <si>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</si>
  <si>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</si>
  <si>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</si>
  <si>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</si>
  <si>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</si>
  <si>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</si>
  <si>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</si>
  <si>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</si>
  <si>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</si>
  <si>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</si>
  <si>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</si>
  <si>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</si>
  <si>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</si>
  <si>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</si>
  <si>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</si>
  <si>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</si>
  <si>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</si>
  <si>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</si>
  <si>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</si>
  <si>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</si>
  <si>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</si>
  <si>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</si>
  <si>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</si>
  <si>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</si>
  <si>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</si>
  <si>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</si>
  <si>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</si>
  <si>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</si>
  <si>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</si>
  <si>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</si>
  <si>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</si>
  <si>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</si>
  <si>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</si>
  <si>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</si>
  <si>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</si>
  <si>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</si>
  <si>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</si>
  <si>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</si>
  <si>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</si>
  <si>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</si>
  <si>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</si>
  <si>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</si>
  <si>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</si>
  <si>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</si>
  <si>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</si>
  <si>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</si>
  <si>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</si>
  <si>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</si>
  <si>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</si>
  <si>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</si>
  <si>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</si>
  <si>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</si>
  <si>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</si>
  <si>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</si>
  <si>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</si>
  <si>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</si>
  <si>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</si>
  <si>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</si>
  <si>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</si>
  <si>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</si>
  <si>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</si>
  <si>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</si>
  <si>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</si>
  <si>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</si>
  <si>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</si>
  <si>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</si>
  <si>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</si>
  <si>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</si>
  <si>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</si>
  <si>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</si>
  <si>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</si>
  <si>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</si>
  <si>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</si>
  <si>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</si>
  <si>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</si>
  <si>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</si>
  <si>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</si>
  <si>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</si>
  <si>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</si>
  <si>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</si>
  <si>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</si>
  <si>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</si>
  <si>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</si>
  <si>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</si>
  <si>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</si>
  <si>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</si>
  <si>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</si>
  <si>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</si>
  <si>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</si>
  <si>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</si>
  <si>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</si>
  <si>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</si>
  <si>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</si>
  <si>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</si>
  <si>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</si>
  <si>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</si>
  <si>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</si>
  <si>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</si>
  <si>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</si>
  <si>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</si>
  <si>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</si>
  <si>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</si>
  <si>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</si>
  <si>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</si>
  <si>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</si>
  <si>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</si>
  <si>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</si>
  <si>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</si>
  <si>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</si>
  <si>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</si>
  <si>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</si>
  <si>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</si>
  <si>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</si>
  <si>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</si>
  <si>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</si>
  <si>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</si>
  <si>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</si>
  <si>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</si>
  <si>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</si>
  <si>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</si>
  <si>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</si>
  <si>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</si>
  <si>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</si>
  <si>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</si>
  <si>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</si>
  <si>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</si>
  <si>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</si>
  <si>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</si>
  <si>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</si>
  <si>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</si>
  <si>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</si>
  <si>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</si>
  <si>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</si>
  <si>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</si>
  <si>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</si>
  <si>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</si>
  <si>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</si>
  <si>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</si>
  <si>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</si>
  <si>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</si>
  <si>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</si>
  <si>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</si>
  <si>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</si>
  <si>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</si>
  <si>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</si>
  <si>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</si>
  <si>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</si>
  <si>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</si>
  <si>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</si>
  <si>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</si>
  <si>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</si>
  <si>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</si>
  <si>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</si>
  <si>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</si>
  <si>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</si>
  <si>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</si>
  <si>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</si>
  <si>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</si>
  <si>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</si>
  <si>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</si>
  <si>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</si>
  <si>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</si>
  <si>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</si>
  <si>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</si>
  <si>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</si>
  <si>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</si>
  <si>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</si>
  <si>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</si>
  <si>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</si>
  <si>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</si>
  <si>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</si>
  <si>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</si>
  <si>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</si>
  <si>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</si>
  <si>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</si>
  <si>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</si>
  <si>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</si>
  <si>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</si>
  <si>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</si>
  <si>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</si>
  <si>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</si>
  <si>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</si>
  <si>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</si>
  <si>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</si>
  <si>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</si>
  <si>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</si>
  <si>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</si>
  <si>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</si>
  <si>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</si>
  <si>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</si>
  <si>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</si>
  <si>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</si>
  <si>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</si>
  <si>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</si>
  <si>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</si>
  <si>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</si>
  <si>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</si>
  <si>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</si>
  <si>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</si>
  <si>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</si>
  <si>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</si>
  <si>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</si>
  <si>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</si>
  <si>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</si>
  <si>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</si>
  <si>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</si>
  <si>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</si>
  <si>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</si>
  <si>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</si>
  <si>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</si>
  <si>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</si>
  <si>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</si>
  <si>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</si>
  <si>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</si>
  <si>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</si>
  <si>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</si>
  <si>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</si>
  <si>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</si>
  <si>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</si>
  <si>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</si>
  <si>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</si>
  <si>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</si>
  <si>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</si>
  <si>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</si>
  <si>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</si>
  <si>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</si>
  <si>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</si>
  <si>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</si>
  <si>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</si>
  <si>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</si>
  <si>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</si>
  <si>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</si>
  <si>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</si>
  <si>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</si>
  <si>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</si>
  <si>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</si>
  <si>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</si>
  <si>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</si>
  <si>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</si>
  <si>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</si>
  <si>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</si>
  <si>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</si>
  <si>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</si>
  <si>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</si>
  <si>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</si>
  <si>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</si>
  <si>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</si>
  <si>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</si>
  <si>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</si>
  <si>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</si>
  <si>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</si>
  <si>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</si>
  <si>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</si>
  <si>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</si>
  <si>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</si>
  <si>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</si>
  <si>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</si>
  <si>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</si>
  <si>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</si>
  <si>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</si>
  <si>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</si>
  <si>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</si>
  <si>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</si>
  <si>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</si>
  <si>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</si>
  <si>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</si>
  <si>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</si>
  <si>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</si>
  <si>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</si>
  <si>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</si>
  <si>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</si>
  <si>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</si>
  <si>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</si>
  <si>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</si>
  <si>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</si>
  <si>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</si>
  <si>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</si>
  <si>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</si>
  <si>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</si>
  <si>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</si>
  <si>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</si>
  <si>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</si>
  <si>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</si>
  <si>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</si>
  <si>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</si>
  <si>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</si>
  <si>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</si>
  <si>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</si>
  <si>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</si>
  <si>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</si>
  <si>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</si>
  <si>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</si>
  <si>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</si>
  <si>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</si>
  <si>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</si>
  <si>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</si>
  <si>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</si>
  <si>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</si>
  <si>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</si>
  <si>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</si>
  <si>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</si>
  <si>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</si>
  <si>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</si>
  <si>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</si>
  <si>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</si>
  <si>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</si>
  <si>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</si>
  <si>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</si>
  <si>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</si>
  <si>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</si>
  <si>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</si>
  <si>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</si>
  <si>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</si>
  <si>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</si>
  <si>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</si>
  <si>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</si>
  <si>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</si>
  <si>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</si>
  <si>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</si>
  <si>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</si>
  <si>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</si>
  <si>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</si>
  <si>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</si>
  <si>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</si>
  <si>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</si>
  <si>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</si>
  <si>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</si>
  <si>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</si>
  <si>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</si>
  <si>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</si>
  <si>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</si>
  <si>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</si>
  <si>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</si>
  <si>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</si>
  <si>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</si>
  <si>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</si>
  <si>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</si>
  <si>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</si>
  <si>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</si>
  <si>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</si>
  <si>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</si>
  <si>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</si>
  <si>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</si>
  <si>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</si>
  <si>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</si>
  <si>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</si>
  <si>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</si>
  <si>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</si>
  <si>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</si>
  <si>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</si>
  <si>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</si>
  <si>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</si>
  <si>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</si>
  <si>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</si>
  <si>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</si>
  <si>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</si>
  <si>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</si>
  <si>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</si>
  <si>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</si>
  <si>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</si>
  <si>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</si>
  <si>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</si>
  <si>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</si>
  <si>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</si>
  <si>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</si>
  <si>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</si>
  <si>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</si>
  <si>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</si>
  <si>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</si>
  <si>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</si>
  <si>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</si>
  <si>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</si>
  <si>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</si>
  <si>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</si>
  <si>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</si>
  <si>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</si>
  <si>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</si>
  <si>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</si>
  <si>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</si>
  <si>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</si>
  <si>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</si>
  <si>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</si>
  <si>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</si>
  <si>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</si>
  <si>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</si>
  <si>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</si>
  <si>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</si>
  <si>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</si>
  <si>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</si>
  <si>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</si>
  <si>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</si>
  <si>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</si>
  <si>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</si>
  <si>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</si>
  <si>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</si>
  <si>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</si>
  <si>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</si>
  <si>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</si>
  <si>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</si>
  <si>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</si>
  <si>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</si>
  <si>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</si>
  <si>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</si>
  <si>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</si>
  <si>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</si>
  <si>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</si>
  <si>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</si>
  <si>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</si>
  <si>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</si>
  <si>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</si>
  <si>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</si>
  <si>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</si>
  <si>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</si>
  <si>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</si>
  <si>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</si>
  <si>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</si>
  <si>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</si>
  <si>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</si>
  <si>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</si>
  <si>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</si>
  <si>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</si>
  <si>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</si>
  <si>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</si>
  <si>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</si>
  <si>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</si>
  <si>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</si>
  <si>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</si>
  <si>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</si>
  <si>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</si>
  <si>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</si>
  <si>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</si>
  <si>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</si>
  <si>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</si>
  <si>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</si>
  <si>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</si>
  <si>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</si>
  <si>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</si>
  <si>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</si>
  <si>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</si>
  <si>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</si>
  <si>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</si>
  <si>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</si>
  <si>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</si>
  <si>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</si>
  <si>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</si>
  <si>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</si>
  <si>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</si>
  <si>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</si>
  <si>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</si>
  <si>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</si>
  <si>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</si>
  <si>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</si>
  <si>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</si>
  <si>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</si>
  <si>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</si>
  <si>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</si>
  <si>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</si>
  <si>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</si>
  <si>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</si>
  <si>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</si>
  <si>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</si>
  <si>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</si>
  <si>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</si>
  <si>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</si>
  <si>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</si>
  <si>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</si>
  <si>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</si>
  <si>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</si>
  <si>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</si>
  <si>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</si>
  <si>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</si>
  <si>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</si>
  <si>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</si>
  <si>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</si>
  <si>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</si>
  <si>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</si>
  <si>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</si>
  <si>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</si>
  <si>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</si>
  <si>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</si>
  <si>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</si>
  <si>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</si>
  <si>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</si>
  <si>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</si>
  <si>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</si>
  <si>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</si>
  <si>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</si>
  <si>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</si>
  <si>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</si>
  <si>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</si>
  <si>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</si>
  <si>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</si>
  <si>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</si>
  <si>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</si>
  <si>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</si>
  <si>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</si>
  <si>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</si>
  <si>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</si>
  <si>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</si>
  <si>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</si>
  <si>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</si>
  <si>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</si>
  <si>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</si>
  <si>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</si>
  <si>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</si>
  <si>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</si>
  <si>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</si>
  <si>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</si>
  <si>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</si>
  <si>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</si>
  <si>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</si>
  <si>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</si>
  <si>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</si>
  <si>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</si>
  <si>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</si>
  <si>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</si>
  <si>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</si>
  <si>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</si>
  <si>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</si>
  <si>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</si>
  <si>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</si>
  <si>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</si>
  <si>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</si>
  <si>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</si>
  <si>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</si>
  <si>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</si>
  <si>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</si>
  <si>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</si>
  <si>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</si>
  <si>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</si>
  <si>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</si>
  <si>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</si>
  <si>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</si>
  <si>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</si>
  <si>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</si>
  <si>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</si>
  <si>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</si>
  <si>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</si>
  <si>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</si>
  <si>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</si>
  <si>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</si>
  <si>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</si>
  <si>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</si>
  <si>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</si>
  <si>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</si>
  <si>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</si>
  <si>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</si>
  <si>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</si>
  <si>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</si>
  <si>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</si>
  <si>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</si>
  <si>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</si>
  <si>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</si>
  <si>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</si>
  <si>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</si>
  <si>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</si>
  <si>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</si>
  <si>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</si>
  <si>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</si>
  <si>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</si>
  <si>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</si>
  <si>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</si>
  <si>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</si>
  <si>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</si>
  <si>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</si>
  <si>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</si>
  <si>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</si>
  <si>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</si>
  <si>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</si>
  <si>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</si>
  <si>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</si>
  <si>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</si>
  <si>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</si>
  <si>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</si>
  <si>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</si>
  <si>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</si>
  <si>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</si>
  <si>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</si>
  <si>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</si>
  <si>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</si>
  <si>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</si>
  <si>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</si>
  <si>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</si>
  <si>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</si>
  <si>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</si>
  <si>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</si>
  <si>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</si>
  <si>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</si>
  <si>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</si>
  <si>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</si>
  <si>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</si>
  <si>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</si>
  <si>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</si>
  <si>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</si>
  <si>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</si>
  <si>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</si>
  <si>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</si>
  <si>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</si>
  <si>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</si>
  <si>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</si>
  <si>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</si>
  <si>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</si>
  <si>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</si>
  <si>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</si>
  <si>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</si>
  <si>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</si>
  <si>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</si>
  <si>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</si>
  <si>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</si>
  <si>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</si>
  <si>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</si>
  <si>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</si>
  <si>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</si>
  <si>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</si>
  <si>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</si>
  <si>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</si>
  <si>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</si>
  <si>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</si>
  <si>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</si>
  <si>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</si>
  <si>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</si>
  <si>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</si>
  <si>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</si>
  <si>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</si>
  <si>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</si>
  <si>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</si>
  <si>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</si>
  <si>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</si>
  <si>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</si>
  <si>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</si>
  <si>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</si>
  <si>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</si>
  <si>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</si>
  <si>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</si>
  <si>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</si>
  <si>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</si>
  <si>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</si>
  <si>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</si>
  <si>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</si>
  <si>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</si>
  <si>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</si>
  <si>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</si>
  <si>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</si>
  <si>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</si>
  <si>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</si>
  <si>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</si>
  <si>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</si>
  <si>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</si>
  <si>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</si>
  <si>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</si>
  <si>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</si>
  <si>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</si>
  <si>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</si>
  <si>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</si>
  <si>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</si>
  <si>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</si>
  <si>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</si>
  <si>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</si>
  <si>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</si>
  <si>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</si>
  <si>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</si>
  <si>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</si>
  <si>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</si>
  <si>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</si>
  <si>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</si>
  <si>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</si>
  <si>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</si>
  <si>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</si>
  <si>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</si>
  <si>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</si>
  <si>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</si>
  <si>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</si>
  <si>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</si>
  <si>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</si>
  <si>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</si>
  <si>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</si>
  <si>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</si>
  <si>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</si>
  <si>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</si>
  <si>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</si>
  <si>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</si>
  <si>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</si>
  <si>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</si>
  <si>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</si>
  <si>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</si>
  <si>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</si>
  <si>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</si>
  <si>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</si>
  <si>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</si>
  <si>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</si>
  <si>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</si>
  <si>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</si>
  <si>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</si>
  <si>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</si>
  <si>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</si>
  <si>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</si>
  <si>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</si>
  <si>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</si>
  <si>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</si>
  <si>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</si>
  <si>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</si>
  <si>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</si>
  <si>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</si>
  <si>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</si>
  <si>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</si>
  <si>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</si>
  <si>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</si>
  <si>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</si>
  <si>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</si>
  <si>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</si>
  <si>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</si>
  <si>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</si>
  <si>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</si>
  <si>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</si>
  <si>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</si>
  <si>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</si>
  <si>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</si>
  <si>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</si>
  <si>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</si>
  <si>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</si>
  <si>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</si>
  <si>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</si>
  <si>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</si>
  <si>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</si>
  <si>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</si>
  <si>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</si>
  <si>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</si>
  <si>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</si>
  <si>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</si>
  <si>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</si>
  <si>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</si>
  <si>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</si>
  <si>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</si>
  <si>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</si>
  <si>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</si>
  <si>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</si>
  <si>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</si>
  <si>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</si>
  <si>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</si>
  <si>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</si>
  <si>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</si>
  <si>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</si>
  <si>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</si>
  <si>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</si>
  <si>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</si>
  <si>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</si>
  <si>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</si>
  <si>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</si>
  <si>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</si>
  <si>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</si>
  <si>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</si>
  <si>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</si>
  <si>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</si>
  <si>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</si>
  <si>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</si>
  <si>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</si>
  <si>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</si>
  <si>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</si>
  <si>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</si>
  <si>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</si>
  <si>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</si>
  <si>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</si>
  <si>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</si>
  <si>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</si>
  <si>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</si>
  <si>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</si>
  <si>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</si>
  <si>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</si>
  <si>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</si>
  <si>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</si>
  <si>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</si>
  <si>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</si>
  <si>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</si>
  <si>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</si>
  <si>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</si>
  <si>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</si>
  <si>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</si>
  <si>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</si>
  <si>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</si>
  <si>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</si>
  <si>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</si>
  <si>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</si>
  <si>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</si>
  <si>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</si>
  <si>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</si>
  <si>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</si>
  <si>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</si>
  <si>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</si>
  <si>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</si>
  <si>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</si>
  <si>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</si>
  <si>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</si>
  <si>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</si>
  <si>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</si>
  <si>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</si>
  <si>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</si>
  <si>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</si>
  <si>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</si>
  <si>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</si>
  <si>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</si>
  <si>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</si>
  <si>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</si>
  <si>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</si>
  <si>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</si>
  <si>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</si>
  <si>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</si>
  <si>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</si>
  <si>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</si>
  <si>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</si>
  <si>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</si>
  <si>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</si>
  <si>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</si>
  <si>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</si>
  <si>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</si>
  <si>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</si>
  <si>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</si>
  <si>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</si>
  <si>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</si>
  <si>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</si>
  <si>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</si>
  <si>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</si>
  <si>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</si>
  <si>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</si>
  <si>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</si>
  <si>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</si>
  <si>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</si>
  <si>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</si>
  <si>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</si>
  <si>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</si>
  <si>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</si>
  <si>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</si>
  <si>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</si>
  <si>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</si>
  <si>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</si>
  <si>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</si>
  <si>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</si>
  <si>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</si>
  <si>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</si>
  <si>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</si>
  <si>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</si>
  <si>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</si>
  <si>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</si>
  <si>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</si>
  <si>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</si>
  <si>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</si>
  <si>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</si>
  <si>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</si>
  <si>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</si>
  <si>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</si>
  <si>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</si>
  <si>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</si>
  <si>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</si>
  <si>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</si>
  <si>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</si>
  <si>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</si>
  <si>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</si>
  <si>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</si>
  <si>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</si>
  <si>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</si>
  <si>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</si>
  <si>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</si>
  <si>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</si>
  <si>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</si>
  <si>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</si>
  <si>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</si>
  <si>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</si>
  <si>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</si>
  <si>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</si>
  <si>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</si>
  <si>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</si>
  <si>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</si>
  <si>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</si>
  <si>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</si>
  <si>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</si>
  <si>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</si>
  <si>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</si>
  <si>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</si>
  <si>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</si>
  <si>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</si>
  <si>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</si>
  <si>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</si>
  <si>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</si>
  <si>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</si>
  <si>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</si>
  <si>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</si>
  <si>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</si>
  <si>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</si>
  <si>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</si>
  <si>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</si>
  <si>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</si>
  <si>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</si>
  <si>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</si>
  <si>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</si>
  <si>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</si>
  <si>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</si>
  <si>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</si>
  <si>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</si>
  <si>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</si>
  <si>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</si>
  <si>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</si>
  <si>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</si>
  <si>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</si>
  <si>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</si>
  <si>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</si>
  <si>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</si>
  <si>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</si>
  <si>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</si>
  <si>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</si>
  <si>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</si>
  <si>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</si>
  <si>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</si>
  <si>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</si>
  <si>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</si>
  <si>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</si>
  <si>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</si>
  <si>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</si>
  <si>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</si>
  <si>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</si>
  <si>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</si>
  <si>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</si>
  <si>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</si>
  <si>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</si>
  <si>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</si>
  <si>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</si>
  <si>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</si>
  <si>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</si>
  <si>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</si>
  <si>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</si>
  <si>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</si>
  <si>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</si>
  <si>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</si>
  <si>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</si>
  <si>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</si>
  <si>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</si>
  <si>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</si>
  <si>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</si>
  <si>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</si>
  <si>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</si>
  <si>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</si>
  <si>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</si>
  <si>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</si>
  <si>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</si>
  <si>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</si>
  <si>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</si>
  <si>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</si>
  <si>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</si>
  <si>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</si>
  <si>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</si>
  <si>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</si>
  <si>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</si>
  <si>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</si>
  <si>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</si>
  <si>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</si>
  <si>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</si>
  <si>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</si>
  <si>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</si>
  <si>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</si>
  <si>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</si>
  <si>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</si>
  <si>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</si>
  <si>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</si>
  <si>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</si>
  <si>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</si>
  <si>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</si>
  <si>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</si>
  <si>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</si>
  <si>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</si>
  <si>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</si>
  <si>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</si>
  <si>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</si>
  <si>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</si>
  <si>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</si>
  <si>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</si>
  <si>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</si>
  <si>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</si>
  <si>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</si>
  <si>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</si>
  <si>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</si>
  <si>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</si>
  <si>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</si>
  <si>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</si>
  <si>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</si>
  <si>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</si>
  <si>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</si>
  <si>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</si>
  <si>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</si>
  <si>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</si>
  <si>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</si>
  <si>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</si>
  <si>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</si>
  <si>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</si>
  <si>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</si>
  <si>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</si>
  <si>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</si>
  <si>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</si>
  <si>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</si>
  <si>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</si>
  <si>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</si>
  <si>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</si>
  <si>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</si>
  <si>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</si>
  <si>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</si>
  <si>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</si>
  <si>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</si>
  <si>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</si>
  <si>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</si>
  <si>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</si>
  <si>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</si>
  <si>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</si>
  <si>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</si>
  <si>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</si>
  <si>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</si>
  <si>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</si>
  <si>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</si>
  <si>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</si>
  <si>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</si>
  <si>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</si>
  <si>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</si>
  <si>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</si>
  <si>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</si>
  <si>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</si>
  <si>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</si>
  <si>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</si>
  <si>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</si>
  <si>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</si>
  <si>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</si>
  <si>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</si>
  <si>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</si>
  <si>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</si>
  <si>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</si>
  <si>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</si>
  <si>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</si>
  <si>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</si>
  <si>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</si>
  <si>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</si>
  <si>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</si>
  <si>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</si>
  <si>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</si>
  <si>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</si>
  <si>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</si>
  <si>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</si>
  <si>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</si>
  <si>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</si>
  <si>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</si>
  <si>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</si>
  <si>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</si>
  <si>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</si>
  <si>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</si>
  <si>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</si>
  <si>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</si>
  <si>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</si>
  <si>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</si>
  <si>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</si>
  <si>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</si>
  <si>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</si>
  <si>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</si>
  <si>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</si>
  <si>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</si>
  <si>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</si>
  <si>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</si>
  <si>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</si>
  <si>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</si>
  <si>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</si>
  <si>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</si>
  <si>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</si>
  <si>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</si>
  <si>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</si>
  <si>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</si>
  <si>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</si>
  <si>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</si>
  <si>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</si>
  <si>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</si>
  <si>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</si>
  <si>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</si>
  <si>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</si>
  <si>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</si>
  <si>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</si>
  <si>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</si>
  <si>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</si>
  <si>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</si>
  <si>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</si>
  <si>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</si>
  <si>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</si>
  <si>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</si>
  <si>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</si>
  <si>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</si>
  <si>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</si>
  <si>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</si>
  <si>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</si>
  <si>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</si>
  <si>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</si>
  <si>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</si>
  <si>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</si>
  <si>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</si>
  <si>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</si>
  <si>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</si>
  <si>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</si>
  <si>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</si>
  <si>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</si>
  <si>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</si>
  <si>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</si>
  <si>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</si>
  <si>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</si>
  <si>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</si>
  <si>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</si>
  <si>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</si>
  <si>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</si>
  <si>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</si>
  <si>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</si>
  <si>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</si>
  <si>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</si>
  <si>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</si>
  <si>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</si>
  <si>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</si>
  <si>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</si>
  <si>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</si>
  <si>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</si>
  <si>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</si>
  <si>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</si>
  <si>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</si>
  <si>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</si>
  <si>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</si>
  <si>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</si>
  <si>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</si>
  <si>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</si>
  <si>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</si>
  <si>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</si>
  <si>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</si>
  <si>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</si>
  <si>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</si>
  <si>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</si>
  <si>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</si>
  <si>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</si>
  <si>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</si>
  <si>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</si>
  <si>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</si>
  <si>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</si>
  <si>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</si>
  <si>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</si>
  <si>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</si>
  <si>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</si>
  <si>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</si>
  <si>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</si>
  <si>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</si>
  <si>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</si>
  <si>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</si>
  <si>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</si>
  <si>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</si>
  <si>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</si>
  <si>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</si>
  <si>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</si>
  <si>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</si>
  <si>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</si>
  <si>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</si>
  <si>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</si>
  <si>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</si>
  <si>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</si>
  <si>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</si>
  <si>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</si>
  <si>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</si>
  <si>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</si>
  <si>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</si>
  <si>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</si>
  <si>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</si>
  <si>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</si>
  <si>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</si>
  <si>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</si>
  <si>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</si>
  <si>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</si>
  <si>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</si>
  <si>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</si>
  <si>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</si>
  <si>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</si>
  <si>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</si>
  <si>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</si>
  <si>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</si>
  <si>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</si>
  <si>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</si>
  <si>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</si>
  <si>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</si>
  <si>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</si>
  <si>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</si>
  <si>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</si>
  <si>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</si>
  <si>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</si>
  <si>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</si>
  <si>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</si>
  <si>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</si>
  <si>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</si>
  <si>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</si>
  <si>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</si>
  <si>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</si>
  <si>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</si>
  <si>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</si>
  <si>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</si>
  <si>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</si>
  <si>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</si>
  <si>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</si>
  <si>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</si>
  <si>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</si>
  <si>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</si>
  <si>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</si>
  <si>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</si>
  <si>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</si>
  <si>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</si>
  <si>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</si>
  <si>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</si>
  <si>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</si>
  <si>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</si>
  <si>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</si>
  <si>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</si>
  <si>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</si>
  <si>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</si>
  <si>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</si>
  <si>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</si>
  <si>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</si>
  <si>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</si>
  <si>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</si>
  <si>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</si>
  <si>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</si>
  <si>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</si>
  <si>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</si>
  <si>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</si>
  <si>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</si>
  <si>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</si>
  <si>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</si>
  <si>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</si>
  <si>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</si>
  <si>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</si>
  <si>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</si>
  <si>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</si>
  <si>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</si>
  <si>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</si>
  <si>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</si>
  <si>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</si>
  <si>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</si>
  <si>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</si>
  <si>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</si>
  <si>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</si>
  <si>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</si>
  <si>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</si>
  <si>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</si>
  <si>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</si>
  <si>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</si>
  <si>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</si>
  <si>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</si>
  <si>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</si>
  <si>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</si>
  <si>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</si>
  <si>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</si>
  <si>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</si>
  <si>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</si>
  <si>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</si>
  <si>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</si>
  <si>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</si>
  <si>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</si>
  <si>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</si>
  <si>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</si>
  <si>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</si>
  <si>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</si>
  <si>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</si>
  <si>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</si>
  <si>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</si>
  <si>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</si>
  <si>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</si>
  <si>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</si>
  <si>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</si>
  <si>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</si>
  <si>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</si>
  <si>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</si>
  <si>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</si>
  <si>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</si>
  <si>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</si>
  <si>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</si>
  <si>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</si>
  <si>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</si>
  <si>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</si>
  <si>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</si>
  <si>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</si>
  <si>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</si>
  <si>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</si>
  <si>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</si>
  <si>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</si>
  <si>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</si>
  <si>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</si>
  <si>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</si>
  <si>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</si>
  <si>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</si>
  <si>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</si>
  <si>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</si>
  <si>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</si>
  <si>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</si>
  <si>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</si>
  <si>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</si>
  <si>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</si>
  <si>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</si>
  <si>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</si>
  <si>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</si>
  <si>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</si>
  <si>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</si>
  <si>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</si>
  <si>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</si>
  <si>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</si>
  <si>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</si>
  <si>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</si>
  <si>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</si>
  <si>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</si>
  <si>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</si>
  <si>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</si>
  <si>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</si>
  <si>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</si>
  <si>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</si>
  <si>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</si>
  <si>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</si>
  <si>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</si>
  <si>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</si>
  <si>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</si>
  <si>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</si>
  <si>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</si>
  <si>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</si>
  <si>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</si>
  <si>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</si>
  <si>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</si>
  <si>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</si>
  <si>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</si>
  <si>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</si>
  <si>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</si>
  <si>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</si>
  <si>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</si>
  <si>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</si>
  <si>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</si>
  <si>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</si>
  <si>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</si>
  <si>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</si>
  <si>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</si>
  <si>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</si>
  <si>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</si>
  <si>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</si>
  <si>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</si>
  <si>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</si>
  <si>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</si>
  <si>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</si>
  <si>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</si>
  <si>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</si>
  <si>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</si>
  <si>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</si>
  <si>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</si>
  <si>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</si>
  <si>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</si>
  <si>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</si>
  <si>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</si>
  <si>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</si>
  <si>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</si>
  <si>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</si>
  <si>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</si>
  <si>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</si>
  <si>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</si>
  <si>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</si>
  <si>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</si>
  <si>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</si>
  <si>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</si>
  <si>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</si>
  <si>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</si>
  <si>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</si>
  <si>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</si>
  <si>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</si>
  <si>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</si>
  <si>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</si>
  <si>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</si>
  <si>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</si>
  <si>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</si>
  <si>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</si>
  <si>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</si>
  <si>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</si>
  <si>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</si>
  <si>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</si>
  <si>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</si>
  <si>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</si>
  <si>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</si>
  <si>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</si>
  <si>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</si>
  <si>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</si>
  <si>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</si>
  <si>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</si>
  <si>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</si>
  <si>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</si>
  <si>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</si>
  <si>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</si>
  <si>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</si>
  <si>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</si>
  <si>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</si>
  <si>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</si>
  <si>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</si>
  <si>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</si>
  <si>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</si>
  <si>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</si>
  <si>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</si>
  <si>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</si>
  <si>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</si>
  <si>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</si>
  <si>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</si>
  <si>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</si>
  <si>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</si>
  <si>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</si>
  <si>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</si>
  <si>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</si>
  <si>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</si>
  <si>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</si>
  <si>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</si>
  <si>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</si>
  <si>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</si>
  <si>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</si>
  <si>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</si>
  <si>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</si>
  <si>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</si>
  <si>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</si>
  <si>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</si>
  <si>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</si>
  <si>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</si>
  <si>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</si>
  <si>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</si>
  <si>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</si>
  <si>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</si>
  <si>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</si>
  <si>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</si>
  <si>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</si>
  <si>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</si>
  <si>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</si>
  <si>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</si>
  <si>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</si>
  <si>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</si>
  <si>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</si>
  <si>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</si>
  <si>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</si>
  <si>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</si>
  <si>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</si>
  <si>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</si>
  <si>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</si>
  <si>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</si>
  <si>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</si>
  <si>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</si>
  <si>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</si>
  <si>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</si>
  <si>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</si>
  <si>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</si>
  <si>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</si>
  <si>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</si>
  <si>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</si>
  <si>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</si>
  <si>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</si>
  <si>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</si>
  <si>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</si>
  <si>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</si>
  <si>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</si>
  <si>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</si>
  <si>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</si>
  <si>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</si>
  <si>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</si>
  <si>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</si>
  <si>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</si>
  <si>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</si>
  <si>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</si>
  <si>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</si>
  <si>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</si>
  <si>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</si>
  <si>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</si>
  <si>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</si>
  <si>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</si>
  <si>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</si>
  <si>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</si>
  <si>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</si>
  <si>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</si>
  <si>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</si>
  <si>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</si>
  <si>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</si>
  <si>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</si>
  <si>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</si>
  <si>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</si>
  <si>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</si>
  <si>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</si>
  <si>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</si>
  <si>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</si>
  <si>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</si>
  <si>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</si>
  <si>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</si>
  <si>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</si>
  <si>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</si>
  <si>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</si>
  <si>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</si>
  <si>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</si>
  <si>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</si>
  <si>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</si>
  <si>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</si>
  <si>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</si>
  <si>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</si>
  <si>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</si>
  <si>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</si>
  <si>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</si>
  <si>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</si>
  <si>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</si>
  <si>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</si>
  <si>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</si>
  <si>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</si>
  <si>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</si>
  <si>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</si>
  <si>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</si>
  <si>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</si>
  <si>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</si>
  <si>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</si>
  <si>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</si>
  <si>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</si>
  <si>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</si>
  <si>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</si>
  <si>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</si>
  <si>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</si>
  <si>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</si>
  <si>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</si>
  <si>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</si>
  <si>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</si>
  <si>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</si>
  <si>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</si>
  <si>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</si>
  <si>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</si>
  <si>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</si>
  <si>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</si>
  <si>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</si>
  <si>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</si>
  <si>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</si>
  <si>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</si>
  <si>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</si>
  <si>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</si>
  <si>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</si>
  <si>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</si>
  <si>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</si>
  <si>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</si>
  <si>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</si>
  <si>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</si>
  <si>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</si>
  <si>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</si>
  <si>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</si>
  <si>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</si>
  <si>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</si>
  <si>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</si>
  <si>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</si>
  <si>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</si>
  <si>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</si>
  <si>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</si>
  <si>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</si>
  <si>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</si>
  <si>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</si>
  <si>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</si>
  <si>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</si>
  <si>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</si>
  <si>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</si>
  <si>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</si>
  <si>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</si>
  <si>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</si>
  <si>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</si>
  <si>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</si>
  <si>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</si>
  <si>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</si>
  <si>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</si>
  <si>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</si>
  <si>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</si>
  <si>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</si>
  <si>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</si>
  <si>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</si>
  <si>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</si>
  <si>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</si>
  <si>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</si>
  <si>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</si>
  <si>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</si>
  <si>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</si>
  <si>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</si>
  <si>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</si>
  <si>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</si>
  <si>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</si>
  <si>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</si>
  <si>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</si>
  <si>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</si>
  <si>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</si>
  <si>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</si>
  <si>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</si>
  <si>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</si>
  <si>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</si>
  <si>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</si>
  <si>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</si>
  <si>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</si>
  <si>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</si>
  <si>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</si>
  <si>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</si>
  <si>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</si>
  <si>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</si>
  <si>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</si>
  <si>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</si>
  <si>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</si>
  <si>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</si>
  <si>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</si>
  <si>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</si>
  <si>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</si>
  <si>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</si>
  <si>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</si>
  <si>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</si>
  <si>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</si>
  <si>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</si>
  <si>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</si>
  <si>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</si>
  <si>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</si>
  <si>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</si>
  <si>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</si>
  <si>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</si>
  <si>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</si>
  <si>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</si>
  <si>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</si>
  <si>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</si>
  <si>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</si>
  <si>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</si>
  <si>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</si>
  <si>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</si>
  <si>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</si>
  <si>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</si>
  <si>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</si>
  <si>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</si>
  <si>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</si>
  <si>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</si>
  <si>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</si>
  <si>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</si>
  <si>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</si>
  <si>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</si>
  <si>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</si>
  <si>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</si>
  <si>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</si>
  <si>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</si>
  <si>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</si>
  <si>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</si>
  <si>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</si>
  <si>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</si>
  <si>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</si>
  <si>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</si>
  <si>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</si>
  <si>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</si>
  <si>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</si>
  <si>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</si>
  <si>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</si>
  <si>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</si>
  <si>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</si>
  <si>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</si>
  <si>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</si>
  <si>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</si>
  <si>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</si>
  <si>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</si>
  <si>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</si>
  <si>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</si>
  <si>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</si>
  <si>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</si>
  <si>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</si>
  <si>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</si>
  <si>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</si>
  <si>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</si>
  <si>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</si>
  <si>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</si>
  <si>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</si>
  <si>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</si>
  <si>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</si>
  <si>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</si>
  <si>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</si>
  <si>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</si>
  <si>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</si>
  <si>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</si>
  <si>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</si>
  <si>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</si>
  <si>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</si>
  <si>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</si>
  <si>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</si>
  <si>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</si>
  <si>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</si>
  <si>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</si>
  <si>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</si>
  <si>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</si>
  <si>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</si>
  <si>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</si>
  <si>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</si>
  <si>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</si>
  <si>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</si>
  <si>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</si>
  <si>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</si>
  <si>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</si>
  <si>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</si>
  <si>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</si>
  <si>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</si>
  <si>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</si>
  <si>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</si>
  <si>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</si>
  <si>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</si>
  <si>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</si>
  <si>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</si>
  <si>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</si>
  <si>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</si>
  <si>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</si>
  <si>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</si>
  <si>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</si>
  <si>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</si>
  <si>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</si>
  <si>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</si>
  <si>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</si>
  <si>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</si>
  <si>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</si>
  <si>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</si>
  <si>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</si>
  <si>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</si>
  <si>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</si>
  <si>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</si>
  <si>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</si>
  <si>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</si>
  <si>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</si>
  <si>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</si>
  <si>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</si>
  <si>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</si>
  <si>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</si>
  <si>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</si>
  <si>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</si>
  <si>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</si>
  <si>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</si>
  <si>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</si>
  <si>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</si>
  <si>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</si>
  <si>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</si>
  <si>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</si>
  <si>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</si>
  <si>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</si>
  <si>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</si>
  <si>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</si>
  <si>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</si>
  <si>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</si>
  <si>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</si>
  <si>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</si>
  <si>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</si>
  <si>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</si>
  <si>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</si>
  <si>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</si>
  <si>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</si>
  <si>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</si>
  <si>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</si>
  <si>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</si>
  <si>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</si>
  <si>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</si>
  <si>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</si>
  <si>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</si>
  <si>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</si>
  <si>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</si>
  <si>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</si>
  <si>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</si>
  <si>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</si>
  <si>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</si>
  <si>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</si>
  <si>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</si>
  <si>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</si>
  <si>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</si>
  <si>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</si>
  <si>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</si>
  <si>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</si>
  <si>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</si>
  <si>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</si>
  <si>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</si>
  <si>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</si>
  <si>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</si>
  <si>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</si>
  <si>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</si>
  <si>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</si>
  <si>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</si>
  <si>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</si>
  <si>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</si>
  <si>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</si>
  <si>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</si>
  <si>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</si>
  <si>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</si>
  <si>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</si>
  <si>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</si>
  <si>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</si>
  <si>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</si>
  <si>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</si>
  <si>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</si>
  <si>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</si>
  <si>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</si>
  <si>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</si>
  <si>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</si>
  <si>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</si>
  <si>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</si>
  <si>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</si>
  <si>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</si>
  <si>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</si>
  <si>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</si>
  <si>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</si>
  <si>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</si>
  <si>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</si>
  <si>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</si>
  <si>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</si>
  <si>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</si>
  <si>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</si>
  <si>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</si>
  <si>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</si>
  <si>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</si>
  <si>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</si>
  <si>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</si>
  <si>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</si>
  <si>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</si>
  <si>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</si>
  <si>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</si>
  <si>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</si>
  <si>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</si>
  <si>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</si>
  <si>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</si>
  <si>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</si>
  <si>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</si>
  <si>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</si>
  <si>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</si>
  <si>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</si>
  <si>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</si>
  <si>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</si>
  <si>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</si>
  <si>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</si>
  <si>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</si>
  <si>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</si>
  <si>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</si>
  <si>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</si>
  <si>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</si>
  <si>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</si>
  <si>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</si>
  <si>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</si>
  <si>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</si>
  <si>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</si>
  <si>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</si>
  <si>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</si>
  <si>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</si>
  <si>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</si>
  <si>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</si>
  <si>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</si>
  <si>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</si>
  <si>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</si>
  <si>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</si>
  <si>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</si>
  <si>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</si>
  <si>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</si>
  <si>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</si>
  <si>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</si>
  <si>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</si>
  <si>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</si>
  <si>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</si>
  <si>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</si>
  <si>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</si>
  <si>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</si>
  <si>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</si>
  <si>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</si>
  <si>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</si>
  <si>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</si>
  <si>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</si>
  <si>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</si>
  <si>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</si>
  <si>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</si>
  <si>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</si>
  <si>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</si>
  <si>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</si>
  <si>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</si>
  <si>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</si>
  <si>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</si>
  <si>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</si>
  <si>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</si>
  <si>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</si>
  <si>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</si>
  <si>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</si>
  <si>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</si>
  <si>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</si>
  <si>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</si>
  <si>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</si>
  <si>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</si>
  <si>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</si>
  <si>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</si>
  <si>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</si>
  <si>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</si>
  <si>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</si>
  <si>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</si>
  <si>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</si>
  <si>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</si>
  <si>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</si>
  <si>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</si>
  <si>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</si>
  <si>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</si>
  <si>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</si>
  <si>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</si>
  <si>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</si>
  <si>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</si>
  <si>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</si>
  <si>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</si>
  <si>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</si>
  <si>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</si>
  <si>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</si>
  <si>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</si>
  <si>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</si>
  <si>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</si>
  <si>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</si>
  <si>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</si>
  <si>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</si>
  <si>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</si>
  <si>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</si>
  <si>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</si>
  <si>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</si>
  <si>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</si>
  <si>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</si>
  <si>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</si>
  <si>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</si>
  <si>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</si>
  <si>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</si>
  <si>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</si>
  <si>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</si>
  <si>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</si>
  <si>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</si>
  <si>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</si>
  <si>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</si>
  <si>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</si>
  <si>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</si>
  <si>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</si>
  <si>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</si>
  <si>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</si>
  <si>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</si>
  <si>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</si>
  <si>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</si>
  <si>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</si>
  <si>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</si>
  <si>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</si>
  <si>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</si>
  <si>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</si>
  <si>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</si>
  <si>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</si>
  <si>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</si>
  <si>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</si>
  <si>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</si>
  <si>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</si>
  <si>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</si>
  <si>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</si>
  <si>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</si>
  <si>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</si>
  <si>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</si>
  <si>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</si>
  <si>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</si>
  <si>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</si>
  <si>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</si>
  <si>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</si>
  <si>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</si>
  <si>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</si>
  <si>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</si>
  <si>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</si>
  <si>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</si>
  <si>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</si>
  <si>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</si>
  <si>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</si>
  <si>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</si>
  <si>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</si>
  <si>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</si>
  <si>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</si>
  <si>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</si>
  <si>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</si>
  <si>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</si>
  <si>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</si>
  <si>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</si>
  <si>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</si>
  <si>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</si>
  <si>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</si>
  <si>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</si>
  <si>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</si>
  <si>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</si>
  <si>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</si>
  <si>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</si>
  <si>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</si>
  <si>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</si>
  <si>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</si>
  <si>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</si>
  <si>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</si>
  <si>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</si>
  <si>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</si>
  <si>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</si>
  <si>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</si>
  <si>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</si>
  <si>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</si>
  <si>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</si>
  <si>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</si>
  <si>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</si>
  <si>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</si>
  <si>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</si>
  <si>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</si>
  <si>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</si>
  <si>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</si>
  <si>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</si>
  <si>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</si>
  <si>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</si>
  <si>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</si>
  <si>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</si>
  <si>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</si>
  <si>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</si>
  <si>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</si>
  <si>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</si>
  <si>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</si>
  <si>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</si>
  <si>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</si>
  <si>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</si>
  <si>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</si>
  <si>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</si>
  <si>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</si>
  <si>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</si>
  <si>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</si>
  <si>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</si>
  <si>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</si>
  <si>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</si>
  <si>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</si>
  <si>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</si>
  <si>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</si>
  <si>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</si>
  <si>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</si>
  <si>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</si>
  <si>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</si>
  <si>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</si>
  <si>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</si>
  <si>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</si>
  <si>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</si>
  <si>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</si>
  <si>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</si>
  <si>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</si>
  <si>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</si>
  <si>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</si>
  <si>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</si>
  <si>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</si>
  <si>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</si>
  <si>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</si>
  <si>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</si>
  <si>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</si>
  <si>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</si>
  <si>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</si>
  <si>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</si>
  <si>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</si>
  <si>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</si>
  <si>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</si>
  <si>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</si>
  <si>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</si>
  <si>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</si>
  <si>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</si>
  <si>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</si>
  <si>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</si>
  <si>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</si>
  <si>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</si>
  <si>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</si>
  <si>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</si>
  <si>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</si>
  <si>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</si>
  <si>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</si>
  <si>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</si>
  <si>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</si>
  <si>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</si>
  <si>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</si>
  <si>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</si>
  <si>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</si>
  <si>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</si>
  <si>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</si>
  <si>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</si>
  <si>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</si>
  <si>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</si>
  <si>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</si>
  <si>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</si>
  <si>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</si>
  <si>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</si>
  <si>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</si>
  <si>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</si>
  <si>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</si>
  <si>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</si>
  <si>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</si>
  <si>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</si>
  <si>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</si>
  <si>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</si>
  <si>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</si>
  <si>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</si>
  <si>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</si>
  <si>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</si>
  <si>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</si>
  <si>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</si>
  <si>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</si>
  <si>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</si>
  <si>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</si>
  <si>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</si>
  <si>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</si>
  <si>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</si>
  <si>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</si>
  <si>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</si>
  <si>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</si>
  <si>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</si>
  <si>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</si>
  <si>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</si>
  <si>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</si>
  <si>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</si>
  <si>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</si>
  <si>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</si>
  <si>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</si>
  <si>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</si>
  <si>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</si>
  <si>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</si>
  <si>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</si>
  <si>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</si>
  <si>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</si>
  <si>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</si>
  <si>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</si>
  <si>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</si>
  <si>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</si>
  <si>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</si>
  <si>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</si>
  <si>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</si>
  <si>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</si>
  <si>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</si>
  <si>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</si>
  <si>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</si>
  <si>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</si>
  <si>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</si>
  <si>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</si>
  <si>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</si>
  <si>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</si>
  <si>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</si>
  <si>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</si>
  <si>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</si>
  <si>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</si>
  <si>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</si>
  <si>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</si>
  <si>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</si>
  <si>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</si>
  <si>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</si>
  <si>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</si>
  <si>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</si>
  <si>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</si>
  <si>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</si>
  <si>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</si>
  <si>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</si>
  <si>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</si>
  <si>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</si>
  <si>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</si>
  <si>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</si>
  <si>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</si>
  <si>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</si>
  <si>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</si>
  <si>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</si>
  <si>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</si>
  <si>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</si>
  <si>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</si>
  <si>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</si>
  <si>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</si>
  <si>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</si>
  <si>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</si>
  <si>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</si>
  <si>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</si>
  <si>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</si>
  <si>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</si>
  <si>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</si>
  <si>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</si>
  <si>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</si>
  <si>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</si>
  <si>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</si>
  <si>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</si>
  <si>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</si>
  <si>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</si>
  <si>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</si>
  <si>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</si>
  <si>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</si>
  <si>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</si>
  <si>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</si>
  <si>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</si>
  <si>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</si>
  <si>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</si>
  <si>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</si>
  <si>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</si>
  <si>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</si>
  <si>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</si>
  <si>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</si>
  <si>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</si>
  <si>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</si>
  <si>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</si>
  <si>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</si>
  <si>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</si>
  <si>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</si>
  <si>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</si>
  <si>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</si>
  <si>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</si>
  <si>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</si>
  <si>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</si>
  <si>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</si>
  <si>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</si>
  <si>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</si>
  <si>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</si>
  <si>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</si>
  <si>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</si>
  <si>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</si>
  <si>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</si>
  <si>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</si>
  <si>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</si>
  <si>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</si>
  <si>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</si>
  <si>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</si>
  <si>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</si>
  <si>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</si>
  <si>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</si>
  <si>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</si>
  <si>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</si>
  <si>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</si>
  <si>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</si>
  <si>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</si>
  <si>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</si>
  <si>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</si>
  <si>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</si>
  <si>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</si>
  <si>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</si>
  <si>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</si>
  <si>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</si>
  <si>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</si>
  <si>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</si>
  <si>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</si>
  <si>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</si>
  <si>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</si>
  <si>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</si>
  <si>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</si>
  <si>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</si>
  <si>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</si>
  <si>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</si>
  <si>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</si>
  <si>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</si>
  <si>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</si>
  <si>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</si>
  <si>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</si>
  <si>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</si>
  <si>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</si>
  <si>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</si>
  <si>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</si>
  <si>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</si>
  <si>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</si>
  <si>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</si>
  <si>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</si>
  <si>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</si>
  <si>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</si>
  <si>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</si>
  <si>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</si>
  <si>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</si>
  <si>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</si>
  <si>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</si>
  <si>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</si>
  <si>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</si>
  <si>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</si>
  <si>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</si>
  <si>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</si>
  <si>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</si>
  <si>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</si>
  <si>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</si>
  <si>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</si>
  <si>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</si>
  <si>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</si>
  <si>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</si>
  <si>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</si>
  <si>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</si>
  <si>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</si>
  <si>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</si>
  <si>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</si>
  <si>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</si>
  <si>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</si>
  <si>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</si>
  <si>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</si>
  <si>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</si>
  <si>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</si>
  <si>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</si>
  <si>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</si>
  <si>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</si>
  <si>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</si>
  <si>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</si>
  <si>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</si>
  <si>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</si>
  <si>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</si>
  <si>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</si>
  <si>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</si>
  <si>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</si>
  <si>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</si>
  <si>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</si>
  <si>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</si>
  <si>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</si>
  <si>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</si>
  <si>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</si>
  <si>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</si>
  <si>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</si>
  <si>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</si>
  <si>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</si>
  <si>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</si>
  <si>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</si>
  <si>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</si>
  <si>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</si>
  <si>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</si>
  <si>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</si>
  <si>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</si>
  <si>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</si>
  <si>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</si>
  <si>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</si>
  <si>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</si>
  <si>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</si>
  <si>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</si>
  <si>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</si>
  <si>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</si>
  <si>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</si>
  <si>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</si>
  <si>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</si>
  <si>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</si>
  <si>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</si>
  <si>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</si>
  <si>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</si>
  <si>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</si>
  <si>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</si>
  <si>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</si>
  <si>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</si>
  <si>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</si>
  <si>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</si>
  <si>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</si>
  <si>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</si>
  <si>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</si>
  <si>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</si>
  <si>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</si>
  <si>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</si>
  <si>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</si>
  <si>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</si>
  <si>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</si>
  <si>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</si>
  <si>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</si>
  <si>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</si>
  <si>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</si>
  <si>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</si>
  <si>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</si>
  <si>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</si>
  <si>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</si>
  <si>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</si>
  <si>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</si>
  <si>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</si>
  <si>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</si>
  <si>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</si>
  <si>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</si>
  <si>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</si>
  <si>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</si>
  <si>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</si>
  <si>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</si>
  <si>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</si>
  <si>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</si>
  <si>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</si>
  <si>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</si>
  <si>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</si>
  <si>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</si>
  <si>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</si>
  <si>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</si>
  <si>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</si>
  <si>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</si>
  <si>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</si>
  <si>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</si>
  <si>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</si>
  <si>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</si>
  <si>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</si>
  <si>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</si>
  <si>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</si>
  <si>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</si>
  <si>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</si>
  <si>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</si>
  <si>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</si>
  <si>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</si>
  <si>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</si>
  <si>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</si>
  <si>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</si>
  <si>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</si>
  <si>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</si>
  <si>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</si>
  <si>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</si>
  <si>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</si>
  <si>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</si>
  <si>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</si>
  <si>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</si>
  <si>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</si>
  <si>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</si>
  <si>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</si>
  <si>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</si>
  <si>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</si>
  <si>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</si>
  <si>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</si>
  <si>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</si>
  <si>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</si>
  <si>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</si>
  <si>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</si>
  <si>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</si>
  <si>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</si>
  <si>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</si>
  <si>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</si>
  <si>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</si>
  <si>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</si>
  <si>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</si>
  <si>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</si>
  <si>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</si>
  <si>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</si>
  <si>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</si>
  <si>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</si>
  <si>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</si>
  <si>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</si>
  <si>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</si>
  <si>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</si>
  <si>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</si>
  <si>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</si>
  <si>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</si>
  <si>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</si>
  <si>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</si>
  <si>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</si>
  <si>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</si>
  <si>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</si>
  <si>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</si>
  <si>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</si>
  <si>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</si>
  <si>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</si>
  <si>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</si>
  <si>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</si>
  <si>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</si>
  <si>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</si>
  <si>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</si>
  <si>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</si>
  <si>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</si>
  <si>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</si>
  <si>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</si>
  <si>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</si>
  <si>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</si>
  <si>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</si>
  <si>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</si>
  <si>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</si>
  <si>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</si>
  <si>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</si>
  <si>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</si>
  <si>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</si>
  <si>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</si>
  <si>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</si>
  <si>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</si>
  <si>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</si>
  <si>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</si>
  <si>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</si>
  <si>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</si>
  <si>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</si>
  <si>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</si>
  <si>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</si>
  <si>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</si>
  <si>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</si>
  <si>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</si>
  <si>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</si>
  <si>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</si>
  <si>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</si>
  <si>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</si>
  <si>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</si>
  <si>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</si>
  <si>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</si>
  <si>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</si>
  <si>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</si>
  <si>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</si>
  <si>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</si>
  <si>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</si>
  <si>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</si>
  <si>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</si>
  <si>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</si>
  <si>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</si>
  <si>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</si>
  <si>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</si>
  <si>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</si>
  <si>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</si>
  <si>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</si>
  <si>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</si>
  <si>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</si>
  <si>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</si>
  <si>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</si>
  <si>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</si>
  <si>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</si>
  <si>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</si>
  <si>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</si>
  <si>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</si>
  <si>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</si>
  <si>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</si>
  <si>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</si>
  <si>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</si>
  <si>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</si>
  <si>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</si>
  <si>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</si>
  <si>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</si>
  <si>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</si>
  <si>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</si>
  <si>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</si>
  <si>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</si>
  <si>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</si>
  <si>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</si>
  <si>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</si>
  <si>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</si>
  <si>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</si>
  <si>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</si>
  <si>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</si>
  <si>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</si>
  <si>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</si>
  <si>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</si>
  <si>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</si>
  <si>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</si>
  <si>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</si>
  <si>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</si>
  <si>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</si>
  <si>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</si>
  <si>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</si>
  <si>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</si>
  <si>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</si>
  <si>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</si>
  <si>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</si>
  <si>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</si>
  <si>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</si>
  <si>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</si>
  <si>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</si>
  <si>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</si>
  <si>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</si>
  <si>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</si>
  <si>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</si>
  <si>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</si>
  <si>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</si>
  <si>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</si>
  <si>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</si>
  <si>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</si>
  <si>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</si>
  <si>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</si>
  <si>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</si>
  <si>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</si>
  <si>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</si>
  <si>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</si>
  <si>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</si>
  <si>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</si>
  <si>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</si>
  <si>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</si>
  <si>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</si>
  <si>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</si>
  <si>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</si>
  <si>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</si>
  <si>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</si>
  <si>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</si>
  <si>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</si>
  <si>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</si>
  <si>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</si>
  <si>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</si>
  <si>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</si>
  <si>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</si>
  <si>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</si>
  <si>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</si>
  <si>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</si>
  <si>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</si>
  <si>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</si>
  <si>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</si>
  <si>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</si>
  <si>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</si>
  <si>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</si>
  <si>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</si>
  <si>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</si>
  <si>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</si>
  <si>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</si>
  <si>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</si>
  <si>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</si>
  <si>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</si>
  <si>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</si>
  <si>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</si>
  <si>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</si>
  <si>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</si>
  <si>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</si>
  <si>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</si>
  <si>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</si>
  <si>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</si>
  <si>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</si>
  <si>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</si>
  <si>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</si>
  <si>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</si>
  <si>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</si>
  <si>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</si>
  <si>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</si>
  <si>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</si>
  <si>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</si>
  <si>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</si>
  <si>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</si>
  <si>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</si>
  <si>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</si>
  <si>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</si>
  <si>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</si>
  <si>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</si>
  <si>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</si>
  <si>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</si>
  <si>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</si>
  <si>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</si>
  <si>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</si>
  <si>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</si>
  <si>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</si>
  <si>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</si>
  <si>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</si>
  <si>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</si>
  <si>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</si>
  <si>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</si>
  <si>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</si>
  <si>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</si>
  <si>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</si>
  <si>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</si>
  <si>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</si>
  <si>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</si>
  <si>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</si>
  <si>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</si>
  <si>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</si>
  <si>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</si>
  <si>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</si>
  <si>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</si>
  <si>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</si>
  <si>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</si>
  <si>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</si>
  <si>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</si>
  <si>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</si>
  <si>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</si>
  <si>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</si>
  <si>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</si>
  <si>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</si>
  <si>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</si>
  <si>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</si>
  <si>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</si>
  <si>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</si>
  <si>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</si>
  <si>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</si>
  <si>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</si>
  <si>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</si>
  <si>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</si>
  <si>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</si>
  <si>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</si>
  <si>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</si>
  <si>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</si>
  <si>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</si>
  <si>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</si>
  <si>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</si>
  <si>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</si>
  <si>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</si>
  <si>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</si>
  <si>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</si>
  <si>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</si>
  <si>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</si>
  <si>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</si>
  <si>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</si>
  <si>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</si>
  <si>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</si>
  <si>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</si>
  <si>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</si>
  <si>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</si>
  <si>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</si>
  <si>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</si>
  <si>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</si>
  <si>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</si>
  <si>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</si>
  <si>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</si>
  <si>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</si>
  <si>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</si>
  <si>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</si>
  <si>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</si>
  <si>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</si>
  <si>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</si>
  <si>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</si>
  <si>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</si>
  <si>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</si>
  <si>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</si>
  <si>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</si>
  <si>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</si>
  <si>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</si>
  <si>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</si>
  <si>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</si>
  <si>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</si>
  <si>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</si>
  <si>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</si>
  <si>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</si>
  <si>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</si>
  <si>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</si>
  <si>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</si>
  <si>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</si>
  <si>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</si>
  <si>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</si>
  <si>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</si>
  <si>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</si>
  <si>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</si>
  <si>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</si>
  <si>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</si>
  <si>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</si>
  <si>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</si>
  <si>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</si>
  <si>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</si>
  <si>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</si>
  <si>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</si>
  <si>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</si>
  <si>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</si>
  <si>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</si>
  <si>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</si>
  <si>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</si>
  <si>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</si>
  <si>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</si>
  <si>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</si>
  <si>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</si>
  <si>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</si>
  <si>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</si>
  <si>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</si>
  <si>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</si>
  <si>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</si>
  <si>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</si>
  <si>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</si>
  <si>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</si>
  <si>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</si>
  <si>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</si>
  <si>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</si>
  <si>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</si>
  <si>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</si>
  <si>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</si>
  <si>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</si>
  <si>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</si>
  <si>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</si>
  <si>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</si>
  <si>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</si>
  <si>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</si>
  <si>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</si>
  <si>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</si>
  <si>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</si>
  <si>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</si>
  <si>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</si>
  <si>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</si>
  <si>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</si>
  <si>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</si>
  <si>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</si>
  <si>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</si>
  <si>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</si>
  <si>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</si>
  <si>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</si>
  <si>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</si>
  <si>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</si>
  <si>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</si>
  <si>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</si>
  <si>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</si>
  <si>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</si>
  <si>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</si>
  <si>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</si>
  <si>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</si>
  <si>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</si>
  <si>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</si>
  <si>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</si>
  <si>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</si>
  <si>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</si>
  <si>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</si>
  <si>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</si>
  <si>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</si>
  <si>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</si>
  <si>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</si>
  <si>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</si>
  <si>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</si>
  <si>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</si>
  <si>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</si>
  <si>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</si>
  <si>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</si>
  <si>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</si>
  <si>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</si>
  <si>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</si>
  <si>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</si>
  <si>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</si>
  <si>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</si>
  <si>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</si>
  <si>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</si>
  <si>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</si>
  <si>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</si>
  <si>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</si>
  <si>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</si>
  <si>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</si>
  <si>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</si>
  <si>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</si>
  <si>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</si>
  <si>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</si>
  <si>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</si>
  <si>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</si>
  <si>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</si>
  <si>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</si>
  <si>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</si>
  <si>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</si>
  <si>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</si>
  <si>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</si>
  <si>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</si>
  <si>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</si>
  <si>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</si>
  <si>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</si>
  <si>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</si>
  <si>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</si>
  <si>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</si>
  <si>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</si>
  <si>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</si>
  <si>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</si>
  <si>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</si>
  <si>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</si>
  <si>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</si>
  <si>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</si>
  <si>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</si>
  <si>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</si>
  <si>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</si>
  <si>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</si>
  <si>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</si>
  <si>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</si>
  <si>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</si>
  <si>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</si>
  <si>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</si>
  <si>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</si>
  <si>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</si>
  <si>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</si>
  <si>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</si>
  <si>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</si>
  <si>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</si>
  <si>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</si>
  <si>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</si>
  <si>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</si>
  <si>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</si>
  <si>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</si>
  <si>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</si>
  <si>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</si>
  <si>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</si>
  <si>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</si>
  <si>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</si>
  <si>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</si>
  <si>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</si>
  <si>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</si>
  <si>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</si>
  <si>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</si>
  <si>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</si>
  <si>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</si>
  <si>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</si>
  <si>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</si>
  <si>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</si>
  <si>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</si>
  <si>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</si>
  <si>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</si>
  <si>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</si>
  <si>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</si>
  <si>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</si>
  <si>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</si>
  <si>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</si>
  <si>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</si>
  <si>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</si>
  <si>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</si>
  <si>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</si>
  <si>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</si>
  <si>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</si>
  <si>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</si>
  <si>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</si>
  <si>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</si>
  <si>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</si>
  <si>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</si>
  <si>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</si>
  <si>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</si>
  <si>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</si>
  <si>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</si>
  <si>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</si>
  <si>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</si>
  <si>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</si>
  <si>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</si>
  <si>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</si>
  <si>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</si>
  <si>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</si>
  <si>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</si>
  <si>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</si>
  <si>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</si>
  <si>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</si>
  <si>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</si>
  <si>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</si>
  <si>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</si>
  <si>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</si>
  <si>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</si>
  <si>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</si>
  <si>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</si>
  <si>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</si>
  <si>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</si>
  <si>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</si>
  <si>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</si>
  <si>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</si>
  <si>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</si>
  <si>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</si>
  <si>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</si>
  <si>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</si>
  <si>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</si>
  <si>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</si>
  <si>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</si>
  <si>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</si>
  <si>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</si>
  <si>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</si>
  <si>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</si>
  <si>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</si>
  <si>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</si>
  <si>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</si>
  <si>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</si>
  <si>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</si>
  <si>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</si>
  <si>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</si>
  <si>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</si>
  <si>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</si>
  <si>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</si>
  <si>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</si>
  <si>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</si>
  <si>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</si>
  <si>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</si>
  <si>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</si>
  <si>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</si>
  <si>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</si>
  <si>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</si>
  <si>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</si>
  <si>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</si>
  <si>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</si>
  <si>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</si>
  <si>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</si>
  <si>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</si>
  <si>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</si>
  <si>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</si>
  <si>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</si>
  <si>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</si>
  <si>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</si>
  <si>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</si>
  <si>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</si>
  <si>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</si>
  <si>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</si>
  <si>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</si>
  <si>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</si>
  <si>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</si>
  <si>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</si>
  <si>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</si>
  <si>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</si>
  <si>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</si>
  <si>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</si>
  <si>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</si>
  <si>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</si>
  <si>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</si>
  <si>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</si>
  <si>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</si>
  <si>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</si>
  <si>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</si>
  <si>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</si>
  <si>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</si>
  <si>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</si>
  <si>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</si>
  <si>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</si>
  <si>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</si>
  <si>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</si>
  <si>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</si>
  <si>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</si>
  <si>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</si>
  <si>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</si>
  <si>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</si>
  <si>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</si>
  <si>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</si>
  <si>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</si>
  <si>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</si>
  <si>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</si>
  <si>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</si>
  <si>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</si>
  <si>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</si>
  <si>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</si>
  <si>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</si>
  <si>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</si>
  <si>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</si>
  <si>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</si>
  <si>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</si>
  <si>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</si>
  <si>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</si>
  <si>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</si>
  <si>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</si>
  <si>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</si>
  <si>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</si>
  <si>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</si>
  <si>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</si>
  <si>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</si>
  <si>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</si>
  <si>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</si>
  <si>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</si>
  <si>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</si>
  <si>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</si>
  <si>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</si>
  <si>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</si>
  <si>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</si>
  <si>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</si>
  <si>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</si>
  <si>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</si>
  <si>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</si>
  <si>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</si>
  <si>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</si>
  <si>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</si>
  <si>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</si>
  <si>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</si>
  <si>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</si>
  <si>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</si>
  <si>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</si>
  <si>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</si>
  <si>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</si>
  <si>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</si>
  <si>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</si>
  <si>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</si>
  <si>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</si>
  <si>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</si>
  <si>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</si>
  <si>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</si>
  <si>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</si>
  <si>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</si>
  <si>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</si>
  <si>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</si>
  <si>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</si>
  <si>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</si>
  <si>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</si>
  <si>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</si>
  <si>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</si>
  <si>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</si>
  <si>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</si>
  <si>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</si>
  <si>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</si>
  <si>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</si>
  <si>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</si>
  <si>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</si>
  <si>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</si>
  <si>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</si>
  <si>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</si>
  <si>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</si>
  <si>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</si>
  <si>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</si>
  <si>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</si>
  <si>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</si>
  <si>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</si>
  <si>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</si>
  <si>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</si>
  <si>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</si>
  <si>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</si>
  <si>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</si>
  <si>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</si>
  <si>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</si>
  <si>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</si>
  <si>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</si>
  <si>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</si>
  <si>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</si>
  <si>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</si>
  <si>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</si>
  <si>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</si>
  <si>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</si>
  <si>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</si>
  <si>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</si>
  <si>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</si>
  <si>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</si>
  <si>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</si>
  <si>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</si>
  <si>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</si>
  <si>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</si>
  <si>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</si>
  <si>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</si>
  <si>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</si>
  <si>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</si>
  <si>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</si>
  <si>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</si>
  <si>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</si>
  <si>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</si>
  <si>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</si>
  <si>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</si>
  <si>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</si>
  <si>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</si>
  <si>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</si>
  <si>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</si>
  <si>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</si>
  <si>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</si>
  <si>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</si>
  <si>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</si>
  <si>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</si>
  <si>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</si>
  <si>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</si>
  <si>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</si>
  <si>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</si>
  <si>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</si>
  <si>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</si>
  <si>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</si>
  <si>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</si>
  <si>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</si>
  <si>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</si>
  <si>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</si>
  <si>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</si>
  <si>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</si>
  <si>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</si>
  <si>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</si>
  <si>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</si>
  <si>
    <t>Metric</t>
  </si>
  <si>
    <t>Quanity</t>
  </si>
  <si>
    <t>Unit Price</t>
  </si>
  <si>
    <t>Items in Cart</t>
  </si>
  <si>
    <t>Total Price</t>
  </si>
  <si>
    <t>Mean</t>
  </si>
  <si>
    <t>Median</t>
  </si>
  <si>
    <t>Count</t>
  </si>
  <si>
    <t>Row Labels</t>
  </si>
  <si>
    <t>Grand Total</t>
  </si>
  <si>
    <t>Sum of TotalPrice</t>
  </si>
  <si>
    <t>2025, only has data through Q2 so it's not a real decline just inconsistent data</t>
  </si>
  <si>
    <t>Key Observations</t>
  </si>
  <si>
    <t>Mean TotalPrice (1053.97) is higher than the Median (823.62), showing the data is right-skewed, a few high value orders are pulling the average up</t>
  </si>
  <si>
    <t>8 orders (about 0.67% of the dataset) fall above the typical range (over 3,330), but this is a small, expected amount and not a data error</t>
  </si>
  <si>
    <t>The Unit Price ranges widely across products</t>
  </si>
  <si>
    <t>Sales are spread evenly across products and payment methods, no single one dominates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</si>
</sst>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milore sanni" refreshedDate="46286.700481018517" createdVersion="8" refreshedVersion="8" minRefreshableVersion="3" recordCount="1200" xr:uid="{DB6D7025-A42F-4AF7-82B3-B9C0F8481DF5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x v="1"/>
    <s v="C75739"/>
    <x v="1"/>
    <n v="2"/>
    <n v="151.35"/>
    <s v="823 Main St"/>
    <x v="1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x v="3"/>
    <s v="C33540"/>
    <x v="3"/>
    <n v="1"/>
    <n v="273.19"/>
    <s v="275 Main St"/>
    <x v="0"/>
    <s v="Returned"/>
    <s v="TRK62788070"/>
    <n v="5"/>
    <s v="SAVE10"/>
    <s v="Facebook"/>
    <n v="273.19"/>
  </r>
  <r>
    <s v="ORD200004"/>
    <x v="4"/>
    <s v="C81840"/>
    <x v="4"/>
    <n v="4"/>
    <n v="626.01"/>
    <s v="668 Main St"/>
    <x v="1"/>
    <s v="Delivered"/>
    <s v="TRK29241424"/>
    <n v="8"/>
    <s v="SAVE10"/>
    <s v="Email"/>
    <n v="2504.04"/>
  </r>
  <r>
    <s v="ORD200005"/>
    <x v="5"/>
    <s v="C37249"/>
    <x v="1"/>
    <n v="2"/>
    <n v="245.86"/>
    <s v="934 Main St"/>
    <x v="2"/>
    <s v="Shipped"/>
    <s v="TRK72976927"/>
    <n v="4"/>
    <s v="SAVE10"/>
    <s v="Instagram"/>
    <n v="491.72"/>
  </r>
  <r>
    <s v="ORD200006"/>
    <x v="6"/>
    <s v="C83492"/>
    <x v="5"/>
    <n v="1"/>
    <n v="664.42"/>
    <s v="986 Main St"/>
    <x v="3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x v="3"/>
    <s v="Cancelled"/>
    <s v="TRK61042692"/>
    <n v="2"/>
    <s v="NONE"/>
    <s v="Email"/>
    <n v="268.56"/>
  </r>
  <r>
    <s v="ORD200009"/>
    <x v="9"/>
    <s v="C31946"/>
    <x v="6"/>
    <n v="4"/>
    <n v="509.38"/>
    <s v="102 Main St"/>
    <x v="2"/>
    <s v="Shipped"/>
    <s v="TRK33478363"/>
    <n v="6"/>
    <s v="SAVE10"/>
    <s v="Google"/>
    <n v="2037.52"/>
  </r>
  <r>
    <s v="ORD200010"/>
    <x v="1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s v="Pending"/>
    <s v="TRK20419991"/>
    <n v="6"/>
    <s v="FREESHIP"/>
    <s v="Referral"/>
    <n v="361"/>
  </r>
  <r>
    <s v="ORD200013"/>
    <x v="13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x v="0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x v="4"/>
    <s v="Delivered"/>
    <s v="TRK54930938"/>
    <n v="3"/>
    <s v="NONE"/>
    <s v="Google"/>
    <n v="473.96"/>
  </r>
  <r>
    <s v="ORD200016"/>
    <x v="16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s v="Shipped"/>
    <s v="TRK11972116"/>
    <n v="3"/>
    <s v="NONE"/>
    <s v="Referral"/>
    <n v="423.4"/>
  </r>
  <r>
    <s v="ORD200018"/>
    <x v="18"/>
    <s v="C84329"/>
    <x v="6"/>
    <n v="1"/>
    <n v="431.44"/>
    <s v="891 Main St"/>
    <x v="3"/>
    <s v="Pending"/>
    <s v="TRK65191045"/>
    <n v="3"/>
    <s v="SAVE10"/>
    <s v="Facebook"/>
    <n v="431.44"/>
  </r>
  <r>
    <s v="ORD200019"/>
    <x v="19"/>
    <s v="C14552"/>
    <x v="0"/>
    <n v="5"/>
    <n v="224"/>
    <s v="273 Main St"/>
    <x v="4"/>
    <s v="Returned"/>
    <s v="TRK59101365"/>
    <n v="9"/>
    <s v="SAVE10"/>
    <s v="Google"/>
    <n v="1120"/>
  </r>
  <r>
    <s v="ORD200020"/>
    <x v="2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x v="4"/>
    <s v="Delivered"/>
    <s v="TRK52646983"/>
    <n v="6"/>
    <s v="NONE"/>
    <s v="Google"/>
    <n v="1371.8"/>
  </r>
  <r>
    <s v="ORD200022"/>
    <x v="22"/>
    <s v="C34416"/>
    <x v="0"/>
    <n v="2"/>
    <n v="49.62"/>
    <s v="633 Main St"/>
    <x v="1"/>
    <s v="Pending"/>
    <s v="TRK75937350"/>
    <n v="2"/>
    <s v="SAVE10"/>
    <s v="Google"/>
    <n v="99.24"/>
  </r>
  <r>
    <s v="ORD200023"/>
    <x v="23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x v="0"/>
    <s v="Delivered"/>
    <s v="TRK69423327"/>
    <n v="3"/>
    <s v="WINTER15"/>
    <s v="Email"/>
    <n v="399.98"/>
  </r>
  <r>
    <s v="ORD200026"/>
    <x v="26"/>
    <s v="C21944"/>
    <x v="5"/>
    <n v="5"/>
    <n v="59.55"/>
    <s v="296 Main St"/>
    <x v="1"/>
    <s v="Delivered"/>
    <s v="TRK80276812"/>
    <n v="6"/>
    <s v="NONE"/>
    <s v="Referral"/>
    <n v="297.75"/>
  </r>
  <r>
    <s v="ORD200027"/>
    <x v="27"/>
    <s v="C97593"/>
    <x v="4"/>
    <n v="1"/>
    <n v="472.74"/>
    <s v="881 Main St"/>
    <x v="1"/>
    <s v="Shipped"/>
    <s v="TRK89117573"/>
    <n v="6"/>
    <s v="WINTER15"/>
    <s v="Google"/>
    <n v="472.74"/>
  </r>
  <r>
    <s v="ORD200028"/>
    <x v="9"/>
    <s v="C59823"/>
    <x v="1"/>
    <n v="4"/>
    <n v="160.07"/>
    <s v="568 Main St"/>
    <x v="1"/>
    <s v="Pending"/>
    <s v="TRK65895539"/>
    <n v="5"/>
    <s v="NONE"/>
    <s v="Email"/>
    <n v="640.28"/>
  </r>
  <r>
    <s v="ORD200029"/>
    <x v="28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s v="Pending"/>
    <s v="TRK54751444"/>
    <n v="5"/>
    <s v="SAVE10"/>
    <s v="Referral"/>
    <n v="853.4"/>
  </r>
  <r>
    <s v="ORD200031"/>
    <x v="30"/>
    <s v="C26445"/>
    <x v="3"/>
    <n v="3"/>
    <n v="500.08"/>
    <s v="996 Main St"/>
    <x v="0"/>
    <s v="Returned"/>
    <s v="TRK31229981"/>
    <n v="6"/>
    <s v="NONE"/>
    <s v="Facebook"/>
    <n v="1500.24"/>
  </r>
  <r>
    <s v="ORD200032"/>
    <x v="31"/>
    <s v="C12388"/>
    <x v="2"/>
    <n v="5"/>
    <n v="536.72"/>
    <s v="830 Main St"/>
    <x v="4"/>
    <s v="Delivered"/>
    <s v="TRK99261395"/>
    <n v="10"/>
    <s v="NONE"/>
    <s v="Email"/>
    <n v="2683.6"/>
  </r>
  <r>
    <s v="ORD200033"/>
    <x v="32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x v="1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s v="Pending"/>
    <s v="TRK50961250"/>
    <n v="5"/>
    <s v="NONE"/>
    <s v="Facebook"/>
    <n v="1068.8599999999999"/>
  </r>
  <r>
    <s v="ORD200037"/>
    <x v="35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x v="4"/>
    <s v="Cancelled"/>
    <s v="TRK40772558"/>
    <n v="6"/>
    <s v="NONE"/>
    <s v="Instagram"/>
    <n v="303.32"/>
  </r>
  <r>
    <s v="ORD200043"/>
    <x v="41"/>
    <s v="C60572"/>
    <x v="3"/>
    <n v="3"/>
    <n v="499.21"/>
    <s v="871 Main St"/>
    <x v="1"/>
    <s v="Cancelled"/>
    <s v="TRK20351666"/>
    <n v="8"/>
    <s v="NONE"/>
    <s v="Instagram"/>
    <n v="1497.63"/>
  </r>
  <r>
    <s v="ORD200044"/>
    <x v="42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x v="2"/>
    <s v="Returned"/>
    <s v="TRK42450754"/>
    <n v="3"/>
    <s v="FREESHIP"/>
    <s v="Email"/>
    <n v="419.88"/>
  </r>
  <r>
    <s v="ORD200048"/>
    <x v="46"/>
    <s v="C12408"/>
    <x v="0"/>
    <n v="2"/>
    <n v="80.77"/>
    <s v="464 Main St"/>
    <x v="0"/>
    <s v="Shipped"/>
    <s v="TRK38938858"/>
    <n v="4"/>
    <s v="NONE"/>
    <s v="Google"/>
    <n v="161.54"/>
  </r>
  <r>
    <s v="ORD200049"/>
    <x v="47"/>
    <s v="C11985"/>
    <x v="4"/>
    <n v="1"/>
    <n v="30.44"/>
    <s v="633 Main St"/>
    <x v="2"/>
    <s v="Shipped"/>
    <s v="TRK53272402"/>
    <n v="1"/>
    <s v="SAVE10"/>
    <s v="Email"/>
    <n v="30.44"/>
  </r>
  <r>
    <s v="ORD200050"/>
    <x v="48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x v="4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x v="1"/>
    <s v="Pending"/>
    <s v="TRK11014449"/>
    <n v="5"/>
    <s v="WINTER15"/>
    <s v="Email"/>
    <n v="280.25"/>
  </r>
  <r>
    <s v="ORD200055"/>
    <x v="53"/>
    <s v="C95984"/>
    <x v="4"/>
    <n v="3"/>
    <n v="344.4"/>
    <s v="565 Main St"/>
    <x v="1"/>
    <s v="Cancelled"/>
    <s v="TRK67434829"/>
    <n v="3"/>
    <s v="NONE"/>
    <s v="Facebook"/>
    <n v="1033.2"/>
  </r>
  <r>
    <s v="ORD200056"/>
    <x v="54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x v="3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x v="1"/>
    <s v="Shipped"/>
    <s v="TRK47055028"/>
    <n v="5"/>
    <s v="NONE"/>
    <s v="Facebook"/>
    <n v="2373.08"/>
  </r>
  <r>
    <s v="ORD200060"/>
    <x v="58"/>
    <s v="C39256"/>
    <x v="6"/>
    <n v="1"/>
    <n v="417.1"/>
    <s v="634 Main St"/>
    <x v="0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x v="0"/>
    <s v="Pending"/>
    <s v="TRK12102911"/>
    <n v="3"/>
    <s v="WINTER15"/>
    <s v="Email"/>
    <n v="86.3"/>
  </r>
  <r>
    <s v="ORD200063"/>
    <x v="61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x v="2"/>
    <s v="Delivered"/>
    <s v="TRK13743703"/>
    <n v="6"/>
    <s v="NONE"/>
    <s v="Instagram"/>
    <n v="408.5"/>
  </r>
  <r>
    <s v="ORD200066"/>
    <x v="64"/>
    <s v="C18104"/>
    <x v="3"/>
    <n v="5"/>
    <n v="127.18"/>
    <s v="715 Main St"/>
    <x v="4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s v="Cancelled"/>
    <s v="TRK55105323"/>
    <n v="8"/>
    <s v="NONE"/>
    <s v="Google"/>
    <n v="48.4"/>
  </r>
  <r>
    <s v="ORD200068"/>
    <x v="66"/>
    <s v="C41598"/>
    <x v="3"/>
    <n v="3"/>
    <n v="490.92"/>
    <s v="709 Main St"/>
    <x v="2"/>
    <s v="Pending"/>
    <s v="TRK81665940"/>
    <n v="5"/>
    <s v="FREESHIP"/>
    <s v="Email"/>
    <n v="1472.76"/>
  </r>
  <r>
    <s v="ORD200069"/>
    <x v="67"/>
    <s v="C43338"/>
    <x v="0"/>
    <n v="3"/>
    <n v="478.65"/>
    <s v="552 Main St"/>
    <x v="1"/>
    <s v="Shipped"/>
    <s v="TRK35241775"/>
    <n v="4"/>
    <s v="NONE"/>
    <s v="Referral"/>
    <n v="1435.95"/>
  </r>
  <r>
    <s v="ORD200070"/>
    <x v="68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x v="2"/>
    <s v="Pending"/>
    <s v="TRK28252730"/>
    <n v="4"/>
    <s v="NONE"/>
    <s v="Referral"/>
    <n v="1303.3499999999999"/>
  </r>
  <r>
    <s v="ORD200072"/>
    <x v="70"/>
    <s v="C19451"/>
    <x v="2"/>
    <n v="4"/>
    <n v="589.44000000000005"/>
    <s v="942 Main St"/>
    <x v="3"/>
    <s v="Returned"/>
    <s v="TRK87787793"/>
    <n v="5"/>
    <s v="NONE"/>
    <s v="Facebook"/>
    <n v="2357.7600000000002"/>
  </r>
  <r>
    <s v="ORD200073"/>
    <x v="71"/>
    <s v="C17269"/>
    <x v="0"/>
    <n v="4"/>
    <n v="433.45"/>
    <s v="129 Main St"/>
    <x v="3"/>
    <s v="Cancelled"/>
    <s v="TRK79608389"/>
    <n v="4"/>
    <s v="NONE"/>
    <s v="Facebook"/>
    <n v="1733.8"/>
  </r>
  <r>
    <s v="ORD200074"/>
    <x v="72"/>
    <s v="C25382"/>
    <x v="1"/>
    <n v="5"/>
    <n v="90.87"/>
    <s v="622 Main St"/>
    <x v="4"/>
    <s v="Pending"/>
    <s v="TRK64691287"/>
    <n v="5"/>
    <s v="NONE"/>
    <s v="Instagram"/>
    <n v="454.35"/>
  </r>
  <r>
    <s v="ORD200075"/>
    <x v="73"/>
    <s v="C80651"/>
    <x v="2"/>
    <n v="3"/>
    <n v="398.17"/>
    <s v="917 Main St"/>
    <x v="0"/>
    <s v="Delivered"/>
    <s v="TRK14846720"/>
    <n v="5"/>
    <s v="SAVE10"/>
    <s v="Email"/>
    <n v="1194.51"/>
  </r>
  <r>
    <s v="ORD200076"/>
    <x v="74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s v="Returned"/>
    <s v="TRK79810059"/>
    <n v="5"/>
    <s v="NONE"/>
    <s v="Google"/>
    <n v="583.17999999999995"/>
  </r>
  <r>
    <s v="ORD200078"/>
    <x v="76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s v="Shipped"/>
    <s v="TRK13036341"/>
    <n v="2"/>
    <s v="NONE"/>
    <s v="Facebook"/>
    <n v="623.82000000000005"/>
  </r>
  <r>
    <s v="ORD200080"/>
    <x v="78"/>
    <s v="C29041"/>
    <x v="1"/>
    <n v="3"/>
    <n v="589.55999999999995"/>
    <s v="591 Main St"/>
    <x v="1"/>
    <s v="Returned"/>
    <s v="TRK28840655"/>
    <n v="6"/>
    <s v="NONE"/>
    <s v="Facebook"/>
    <n v="1768.68"/>
  </r>
  <r>
    <s v="ORD200081"/>
    <x v="79"/>
    <s v="C29314"/>
    <x v="0"/>
    <n v="2"/>
    <n v="394.3"/>
    <s v="496 Main St"/>
    <x v="4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s v="Cancelled"/>
    <s v="TRK75112172"/>
    <n v="6"/>
    <s v="NONE"/>
    <s v="Referral"/>
    <n v="2161.64"/>
  </r>
  <r>
    <s v="ORD200084"/>
    <x v="81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x v="4"/>
    <s v="Shipped"/>
    <s v="TRK46976391"/>
    <n v="4"/>
    <s v="SAVE10"/>
    <s v="Facebook"/>
    <n v="675.33"/>
  </r>
  <r>
    <s v="ORD200088"/>
    <x v="85"/>
    <s v="C75439"/>
    <x v="6"/>
    <n v="3"/>
    <n v="114.81"/>
    <s v="318 Main St"/>
    <x v="3"/>
    <s v="Cancelled"/>
    <s v="TRK19831653"/>
    <n v="7"/>
    <s v="NONE"/>
    <s v="Google"/>
    <n v="344.43"/>
  </r>
  <r>
    <s v="ORD200089"/>
    <x v="86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x v="3"/>
    <s v="Delivered"/>
    <s v="TRK35828122"/>
    <n v="4"/>
    <s v="SAVE10"/>
    <s v="Email"/>
    <n v="728.32"/>
  </r>
  <r>
    <s v="ORD200091"/>
    <x v="88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x v="1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x v="2"/>
    <s v="Returned"/>
    <s v="TRK65990229"/>
    <n v="7"/>
    <s v="NONE"/>
    <s v="Referral"/>
    <n v="1724.04"/>
  </r>
  <r>
    <s v="ORD200094"/>
    <x v="91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s v="Returned"/>
    <s v="TRK60179774"/>
    <n v="7"/>
    <s v="NONE"/>
    <s v="Referral"/>
    <n v="470.04"/>
  </r>
  <r>
    <s v="ORD200096"/>
    <x v="93"/>
    <s v="C93007"/>
    <x v="1"/>
    <n v="2"/>
    <n v="232.83"/>
    <s v="103 Main St"/>
    <x v="3"/>
    <s v="Delivered"/>
    <s v="TRK85696091"/>
    <n v="7"/>
    <s v="NONE"/>
    <s v="Instagram"/>
    <n v="465.66"/>
  </r>
  <r>
    <s v="ORD200097"/>
    <x v="94"/>
    <s v="C15624"/>
    <x v="2"/>
    <n v="5"/>
    <n v="619.52"/>
    <s v="922 Main St"/>
    <x v="0"/>
    <s v="Pending"/>
    <s v="TRK40621141"/>
    <n v="9"/>
    <s v="NONE"/>
    <s v="Email"/>
    <n v="3097.6"/>
  </r>
  <r>
    <s v="ORD200098"/>
    <x v="90"/>
    <s v="C70921"/>
    <x v="4"/>
    <n v="2"/>
    <n v="228.54"/>
    <s v="533 Main St"/>
    <x v="0"/>
    <s v="Pending"/>
    <s v="TRK54983109"/>
    <n v="3"/>
    <s v="NONE"/>
    <s v="Email"/>
    <n v="457.08"/>
  </r>
  <r>
    <s v="ORD200099"/>
    <x v="95"/>
    <s v="C30477"/>
    <x v="4"/>
    <n v="1"/>
    <n v="201.58"/>
    <s v="717 Main St"/>
    <x v="0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x v="1"/>
    <s v="Delivered"/>
    <s v="TRK53783265"/>
    <n v="6"/>
    <s v="NONE"/>
    <s v="Facebook"/>
    <n v="1994.37"/>
  </r>
  <r>
    <s v="ORD200101"/>
    <x v="97"/>
    <s v="C15283"/>
    <x v="4"/>
    <n v="1"/>
    <n v="381.02"/>
    <s v="152 Main St"/>
    <x v="4"/>
    <s v="Shipped"/>
    <s v="TRK19286291"/>
    <n v="6"/>
    <s v="NONE"/>
    <s v="Google"/>
    <n v="381.02"/>
  </r>
  <r>
    <s v="ORD200102"/>
    <x v="98"/>
    <s v="C18037"/>
    <x v="5"/>
    <n v="2"/>
    <n v="70.34"/>
    <s v="944 Main St"/>
    <x v="3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x v="2"/>
    <s v="Cancelled"/>
    <s v="TRK86296459"/>
    <n v="9"/>
    <s v="SAVE10"/>
    <s v="Email"/>
    <n v="873.72"/>
  </r>
  <r>
    <s v="ORD200104"/>
    <x v="1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x v="3"/>
    <s v="Cancelled"/>
    <s v="TRK68792129"/>
    <n v="7"/>
    <s v="NONE"/>
    <s v="Facebook"/>
    <n v="556.20000000000005"/>
  </r>
  <r>
    <s v="ORD200106"/>
    <x v="102"/>
    <s v="C73514"/>
    <x v="6"/>
    <n v="3"/>
    <n v="465.05"/>
    <s v="126 Main St"/>
    <x v="2"/>
    <s v="Cancelled"/>
    <s v="TRK96777924"/>
    <n v="3"/>
    <s v="SAVE10"/>
    <s v="Email"/>
    <n v="1395.15"/>
  </r>
  <r>
    <s v="ORD200107"/>
    <x v="14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x v="3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x v="4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s v="Pending"/>
    <s v="TRK29708128"/>
    <n v="8"/>
    <s v="SAVE10"/>
    <s v="Google"/>
    <n v="2492.4"/>
  </r>
  <r>
    <s v="ORD200115"/>
    <x v="11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x v="3"/>
    <s v="Shipped"/>
    <s v="TRK30422853"/>
    <n v="2"/>
    <s v="NONE"/>
    <s v="Facebook"/>
    <n v="1066.04"/>
  </r>
  <r>
    <s v="ORD200123"/>
    <x v="117"/>
    <s v="C86064"/>
    <x v="6"/>
    <n v="3"/>
    <n v="278.04000000000002"/>
    <s v="727 Main St"/>
    <x v="1"/>
    <s v="Delivered"/>
    <s v="TRK62182901"/>
    <n v="5"/>
    <s v="NONE"/>
    <s v="Instagram"/>
    <n v="834.12000000000012"/>
  </r>
  <r>
    <s v="ORD200124"/>
    <x v="118"/>
    <s v="C97148"/>
    <x v="4"/>
    <n v="4"/>
    <n v="283.79000000000002"/>
    <s v="563 Main St"/>
    <x v="1"/>
    <s v="Pending"/>
    <s v="TRK85321126"/>
    <n v="8"/>
    <s v="NONE"/>
    <s v="Google"/>
    <n v="1135.1600000000001"/>
  </r>
  <r>
    <s v="ORD200125"/>
    <x v="119"/>
    <s v="C91099"/>
    <x v="1"/>
    <n v="2"/>
    <n v="512.65"/>
    <s v="758 Main St"/>
    <x v="2"/>
    <s v="Shipped"/>
    <s v="TRK81846174"/>
    <n v="5"/>
    <s v="SAVE10"/>
    <s v="Email"/>
    <n v="1025.3"/>
  </r>
  <r>
    <s v="ORD200126"/>
    <x v="120"/>
    <s v="C55606"/>
    <x v="6"/>
    <n v="4"/>
    <n v="275.5"/>
    <s v="353 Main St"/>
    <x v="3"/>
    <s v="Shipped"/>
    <s v="TRK68250319"/>
    <n v="8"/>
    <s v="FREESHIP"/>
    <s v="Google"/>
    <n v="1102"/>
  </r>
  <r>
    <s v="ORD200127"/>
    <x v="121"/>
    <s v="C71486"/>
    <x v="6"/>
    <n v="3"/>
    <n v="469.32"/>
    <s v="365 Main St"/>
    <x v="0"/>
    <s v="Shipped"/>
    <s v="TRK73929833"/>
    <n v="3"/>
    <s v="NONE"/>
    <s v="Google"/>
    <n v="1407.96"/>
  </r>
  <r>
    <s v="ORD200128"/>
    <x v="96"/>
    <s v="C86408"/>
    <x v="2"/>
    <n v="4"/>
    <n v="21.07"/>
    <s v="244 Main St"/>
    <x v="3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x v="3"/>
    <s v="Pending"/>
    <s v="TRK51648833"/>
    <n v="5"/>
    <s v="NONE"/>
    <s v="Instagram"/>
    <n v="84.8"/>
  </r>
  <r>
    <s v="ORD200132"/>
    <x v="125"/>
    <s v="C96257"/>
    <x v="2"/>
    <n v="4"/>
    <n v="450.75"/>
    <s v="583 Main St"/>
    <x v="2"/>
    <s v="Shipped"/>
    <s v="TRK13137948"/>
    <n v="6"/>
    <s v="WINTER15"/>
    <s v="Email"/>
    <n v="1803"/>
  </r>
  <r>
    <s v="ORD200133"/>
    <x v="126"/>
    <s v="C87432"/>
    <x v="3"/>
    <n v="4"/>
    <n v="302.05"/>
    <s v="636 Main St"/>
    <x v="0"/>
    <s v="Cancelled"/>
    <s v="TRK68969625"/>
    <n v="6"/>
    <s v="SAVE10"/>
    <s v="Google"/>
    <n v="1208.2"/>
  </r>
  <r>
    <s v="ORD200134"/>
    <x v="127"/>
    <s v="C16253"/>
    <x v="5"/>
    <n v="2"/>
    <n v="199.7"/>
    <s v="583 Main St"/>
    <x v="4"/>
    <s v="Pending"/>
    <s v="TRK17354894"/>
    <n v="4"/>
    <s v="NONE"/>
    <s v="Email"/>
    <n v="399.4"/>
  </r>
  <r>
    <s v="ORD200135"/>
    <x v="128"/>
    <s v="C79909"/>
    <x v="4"/>
    <n v="2"/>
    <n v="68.81"/>
    <s v="642 Main St"/>
    <x v="3"/>
    <s v="Shipped"/>
    <s v="TRK86742257"/>
    <n v="5"/>
    <s v="SAVE10"/>
    <s v="Referral"/>
    <n v="137.62"/>
  </r>
  <r>
    <s v="ORD200136"/>
    <x v="129"/>
    <s v="C73370"/>
    <x v="5"/>
    <n v="1"/>
    <n v="44.35"/>
    <s v="595 Main St"/>
    <x v="3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x v="2"/>
    <s v="Delivered"/>
    <s v="TRK12242337"/>
    <n v="5"/>
    <s v="NONE"/>
    <s v="Google"/>
    <n v="501.96"/>
  </r>
  <r>
    <s v="ORD200138"/>
    <x v="131"/>
    <s v="C21905"/>
    <x v="2"/>
    <n v="1"/>
    <n v="298.06"/>
    <s v="478 Main St"/>
    <x v="0"/>
    <s v="Pending"/>
    <s v="TRK31863841"/>
    <n v="3"/>
    <s v="WINTER15"/>
    <s v="Google"/>
    <n v="298.06"/>
  </r>
  <r>
    <s v="ORD200139"/>
    <x v="132"/>
    <s v="C61440"/>
    <x v="1"/>
    <n v="1"/>
    <n v="583.9"/>
    <s v="714 Main St"/>
    <x v="4"/>
    <s v="Returned"/>
    <s v="TRK33114521"/>
    <n v="1"/>
    <s v="NONE"/>
    <s v="Email"/>
    <n v="583.9"/>
  </r>
  <r>
    <s v="ORD200140"/>
    <x v="133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x v="4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x v="1"/>
    <s v="Shipped"/>
    <s v="TRK34654244"/>
    <n v="5"/>
    <s v="NONE"/>
    <s v="Referral"/>
    <n v="1600.28"/>
  </r>
  <r>
    <s v="ORD200144"/>
    <x v="128"/>
    <s v="C63365"/>
    <x v="6"/>
    <n v="5"/>
    <n v="219.78"/>
    <s v="895 Main St"/>
    <x v="2"/>
    <s v="Pending"/>
    <s v="TRK80100887"/>
    <n v="8"/>
    <s v="NONE"/>
    <s v="Facebook"/>
    <n v="1098.9000000000001"/>
  </r>
  <r>
    <s v="ORD200145"/>
    <x v="17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x v="2"/>
    <s v="Returned"/>
    <s v="TRK68893369"/>
    <n v="4"/>
    <s v="NONE"/>
    <s v="Instagram"/>
    <n v="822.98"/>
  </r>
  <r>
    <s v="ORD200147"/>
    <x v="138"/>
    <s v="C46316"/>
    <x v="5"/>
    <n v="2"/>
    <n v="465.18"/>
    <s v="893 Main St"/>
    <x v="2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s v="Delivered"/>
    <s v="TRK47153818"/>
    <n v="3"/>
    <s v="NONE"/>
    <s v="Facebook"/>
    <n v="217.56"/>
  </r>
  <r>
    <s v="ORD200150"/>
    <x v="141"/>
    <s v="C25503"/>
    <x v="1"/>
    <n v="2"/>
    <n v="105.57"/>
    <s v="981 Main St"/>
    <x v="0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x v="0"/>
    <s v="Returned"/>
    <s v="TRK91226500"/>
    <n v="7"/>
    <s v="NONE"/>
    <s v="Email"/>
    <n v="2223.8000000000002"/>
  </r>
  <r>
    <s v="ORD200152"/>
    <x v="143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x v="2"/>
    <s v="Pending"/>
    <s v="TRK13955543"/>
    <n v="9"/>
    <s v="NONE"/>
    <s v="Instagram"/>
    <n v="1632.84"/>
  </r>
  <r>
    <s v="ORD200155"/>
    <x v="146"/>
    <s v="C62740"/>
    <x v="1"/>
    <n v="1"/>
    <n v="424.4"/>
    <s v="446 Main St"/>
    <x v="1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x v="1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s v="Pending"/>
    <s v="TRK81738254"/>
    <n v="7"/>
    <s v="NONE"/>
    <s v="Referral"/>
    <n v="405.28"/>
  </r>
  <r>
    <s v="ORD200161"/>
    <x v="151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x v="1"/>
    <s v="Pending"/>
    <s v="TRK79854624"/>
    <n v="8"/>
    <s v="WINTER15"/>
    <s v="Google"/>
    <n v="197.58"/>
  </r>
  <r>
    <s v="ORD200163"/>
    <x v="53"/>
    <s v="C99589"/>
    <x v="2"/>
    <n v="1"/>
    <n v="641.39"/>
    <s v="277 Main St"/>
    <x v="1"/>
    <s v="Cancelled"/>
    <s v="TRK16695001"/>
    <n v="1"/>
    <s v="NONE"/>
    <s v="Referral"/>
    <n v="641.39"/>
  </r>
  <r>
    <s v="ORD200164"/>
    <x v="153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x v="154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x v="1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x v="4"/>
    <s v="Returned"/>
    <s v="TRK78551375"/>
    <n v="6"/>
    <s v="NONE"/>
    <s v="Facebook"/>
    <n v="594.96"/>
  </r>
  <r>
    <s v="ORD200169"/>
    <x v="158"/>
    <s v="C35785"/>
    <x v="4"/>
    <n v="1"/>
    <n v="427.82"/>
    <s v="732 Main St"/>
    <x v="1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x v="1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x v="2"/>
    <s v="Pending"/>
    <s v="TRK13003066"/>
    <n v="10"/>
    <s v="NONE"/>
    <s v="Facebook"/>
    <n v="2158.4499999999998"/>
  </r>
  <r>
    <s v="ORD200178"/>
    <x v="166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s v="Delivered"/>
    <s v="TRK14332053"/>
    <n v="8"/>
    <s v="NONE"/>
    <s v="Email"/>
    <n v="1619.73"/>
  </r>
  <r>
    <s v="ORD200180"/>
    <x v="168"/>
    <s v="C87216"/>
    <x v="2"/>
    <n v="5"/>
    <n v="316.07"/>
    <s v="970 Main St"/>
    <x v="4"/>
    <s v="Returned"/>
    <s v="TRK18713727"/>
    <n v="10"/>
    <s v="NONE"/>
    <s v="Google"/>
    <n v="1580.35"/>
  </r>
  <r>
    <s v="ORD200181"/>
    <x v="169"/>
    <s v="C38966"/>
    <x v="4"/>
    <n v="5"/>
    <n v="404.39"/>
    <s v="247 Main St"/>
    <x v="1"/>
    <s v="Shipped"/>
    <s v="TRK17205146"/>
    <n v="10"/>
    <s v="NONE"/>
    <s v="Referral"/>
    <n v="2021.95"/>
  </r>
  <r>
    <s v="ORD200182"/>
    <x v="170"/>
    <s v="C16612"/>
    <x v="6"/>
    <n v="1"/>
    <n v="600.54"/>
    <s v="596 Main St"/>
    <x v="0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x v="0"/>
    <s v="Delivered"/>
    <s v="TRK16658182"/>
    <n v="8"/>
    <s v="SAVE10"/>
    <s v="Email"/>
    <n v="931.4"/>
  </r>
  <r>
    <s v="ORD200184"/>
    <x v="172"/>
    <s v="C65180"/>
    <x v="2"/>
    <n v="4"/>
    <n v="214.54"/>
    <s v="231 Main St"/>
    <x v="3"/>
    <s v="Cancelled"/>
    <s v="TRK39255469"/>
    <n v="7"/>
    <s v="NONE"/>
    <s v="Referral"/>
    <n v="858.16"/>
  </r>
  <r>
    <s v="ORD200185"/>
    <x v="61"/>
    <s v="C46877"/>
    <x v="5"/>
    <n v="1"/>
    <n v="210.7"/>
    <s v="572 Main St"/>
    <x v="1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x v="4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x v="3"/>
    <s v="Cancelled"/>
    <s v="TRK19749672"/>
    <n v="5"/>
    <s v="SAVE10"/>
    <s v="Google"/>
    <n v="645.46"/>
  </r>
  <r>
    <s v="ORD200193"/>
    <x v="179"/>
    <s v="C11644"/>
    <x v="4"/>
    <n v="1"/>
    <n v="46.66"/>
    <s v="429 Main St"/>
    <x v="4"/>
    <s v="Cancelled"/>
    <s v="TRK81320339"/>
    <n v="6"/>
    <s v="NONE"/>
    <s v="Google"/>
    <n v="46.66"/>
  </r>
  <r>
    <s v="ORD200194"/>
    <x v="180"/>
    <s v="C53501"/>
    <x v="0"/>
    <n v="1"/>
    <n v="249.57"/>
    <s v="899 Main St"/>
    <x v="4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x v="0"/>
    <s v="Cancelled"/>
    <s v="TRK65385674"/>
    <n v="6"/>
    <s v="NONE"/>
    <s v="Email"/>
    <n v="1857.63"/>
  </r>
  <r>
    <s v="ORD200196"/>
    <x v="182"/>
    <s v="C40882"/>
    <x v="6"/>
    <n v="4"/>
    <n v="217.13"/>
    <s v="719 Main St"/>
    <x v="4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x v="4"/>
    <s v="Cancelled"/>
    <s v="TRK94405162"/>
    <n v="8"/>
    <s v="SAVE10"/>
    <s v="Referral"/>
    <n v="1361.2"/>
  </r>
  <r>
    <s v="ORD200199"/>
    <x v="185"/>
    <s v="C87524"/>
    <x v="1"/>
    <n v="1"/>
    <n v="625"/>
    <s v="358 Main St"/>
    <x v="1"/>
    <s v="Returned"/>
    <s v="TRK21114341"/>
    <n v="5"/>
    <s v="WINTER15"/>
    <s v="Google"/>
    <n v="625"/>
  </r>
  <r>
    <s v="ORD200200"/>
    <x v="186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x v="2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s v="Returned"/>
    <s v="TRK58357269"/>
    <n v="3"/>
    <s v="NONE"/>
    <s v="Email"/>
    <n v="442.17"/>
  </r>
  <r>
    <s v="ORD200206"/>
    <x v="162"/>
    <s v="C31072"/>
    <x v="5"/>
    <n v="4"/>
    <n v="229.1"/>
    <s v="729 Main St"/>
    <x v="3"/>
    <s v="Returned"/>
    <s v="TRK77172975"/>
    <n v="8"/>
    <s v="WINTER15"/>
    <s v="Email"/>
    <n v="916.4"/>
  </r>
  <r>
    <s v="ORD200207"/>
    <x v="191"/>
    <s v="C54595"/>
    <x v="1"/>
    <n v="1"/>
    <n v="121.96"/>
    <s v="999 Main St"/>
    <x v="0"/>
    <s v="Delivered"/>
    <s v="TRK44416659"/>
    <n v="3"/>
    <s v="NONE"/>
    <s v="Google"/>
    <n v="121.96"/>
  </r>
  <r>
    <s v="ORD200208"/>
    <x v="192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x v="4"/>
    <s v="Returned"/>
    <s v="TRK30615168"/>
    <n v="9"/>
    <s v="SAVE10"/>
    <s v="Google"/>
    <n v="939.85"/>
  </r>
  <r>
    <s v="ORD200210"/>
    <x v="194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x v="3"/>
    <s v="Pending"/>
    <s v="TRK83853742"/>
    <n v="7"/>
    <s v="FREESHIP"/>
    <s v="Email"/>
    <n v="580.74"/>
  </r>
  <r>
    <s v="ORD200212"/>
    <x v="196"/>
    <s v="C53215"/>
    <x v="0"/>
    <n v="1"/>
    <n v="265.38"/>
    <s v="367 Main St"/>
    <x v="2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x v="4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s v="Delivered"/>
    <s v="TRK89423603"/>
    <n v="5"/>
    <s v="NONE"/>
    <s v="Facebook"/>
    <n v="1222.8800000000001"/>
  </r>
  <r>
    <s v="ORD200215"/>
    <x v="121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x v="4"/>
    <s v="Returned"/>
    <s v="TRK65596914"/>
    <n v="9"/>
    <s v="NONE"/>
    <s v="Google"/>
    <n v="1286.04"/>
  </r>
  <r>
    <s v="ORD200218"/>
    <x v="2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x v="0"/>
    <s v="Pending"/>
    <s v="TRK50003989"/>
    <n v="6"/>
    <s v="SAVE10"/>
    <s v="Google"/>
    <n v="3196.85"/>
  </r>
  <r>
    <s v="ORD200222"/>
    <x v="204"/>
    <s v="C43124"/>
    <x v="3"/>
    <n v="4"/>
    <n v="693.36"/>
    <s v="931 Main St"/>
    <x v="1"/>
    <s v="Shipped"/>
    <s v="TRK17293348"/>
    <n v="8"/>
    <s v="NONE"/>
    <s v="Instagram"/>
    <n v="2773.44"/>
  </r>
  <r>
    <s v="ORD200223"/>
    <x v="57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x v="4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s v="Delivered"/>
    <s v="TRK93063929"/>
    <n v="8"/>
    <s v="NONE"/>
    <s v="Instagram"/>
    <n v="1764.15"/>
  </r>
  <r>
    <s v="ORD200227"/>
    <x v="208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x v="2"/>
    <s v="Cancelled"/>
    <s v="TRK92055007"/>
    <n v="8"/>
    <s v="NONE"/>
    <s v="Instagram"/>
    <n v="1543.68"/>
  </r>
  <r>
    <s v="ORD200229"/>
    <x v="21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x v="3"/>
    <s v="Delivered"/>
    <s v="TRK24497305"/>
    <n v="6"/>
    <s v="WINTER15"/>
    <s v="Email"/>
    <n v="247.64"/>
  </r>
  <r>
    <s v="ORD200231"/>
    <x v="212"/>
    <s v="C30955"/>
    <x v="1"/>
    <n v="4"/>
    <n v="41.9"/>
    <s v="327 Main St"/>
    <x v="3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x v="0"/>
    <s v="Pending"/>
    <s v="TRK26957950"/>
    <n v="7"/>
    <s v="SAVE10"/>
    <s v="Google"/>
    <n v="945.64"/>
  </r>
  <r>
    <s v="ORD200235"/>
    <x v="215"/>
    <s v="C32854"/>
    <x v="6"/>
    <n v="1"/>
    <n v="65.45"/>
    <s v="815 Main St"/>
    <x v="4"/>
    <s v="Pending"/>
    <s v="TRK30009218"/>
    <n v="2"/>
    <s v="WINTER15"/>
    <s v="Google"/>
    <n v="65.45"/>
  </r>
  <r>
    <s v="ORD200236"/>
    <x v="107"/>
    <s v="C14847"/>
    <x v="0"/>
    <n v="1"/>
    <n v="318.81"/>
    <s v="562 Main St"/>
    <x v="0"/>
    <s v="Pending"/>
    <s v="TRK39663243"/>
    <n v="3"/>
    <s v="WINTER15"/>
    <s v="Email"/>
    <n v="318.81"/>
  </r>
  <r>
    <s v="ORD200237"/>
    <x v="216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x v="2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x v="1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x v="221"/>
    <s v="C94921"/>
    <x v="4"/>
    <n v="2"/>
    <n v="219.1"/>
    <s v="134 Main St"/>
    <x v="1"/>
    <s v="Pending"/>
    <s v="TRK97794327"/>
    <n v="4"/>
    <s v="SAVE10"/>
    <s v="Referral"/>
    <n v="438.2"/>
  </r>
  <r>
    <s v="ORD200243"/>
    <x v="222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x v="1"/>
    <s v="Returned"/>
    <s v="TRK25390491"/>
    <n v="1"/>
    <s v="NONE"/>
    <s v="Facebook"/>
    <n v="223.3"/>
  </r>
  <r>
    <s v="ORD200246"/>
    <x v="225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x v="3"/>
    <s v="Shipped"/>
    <s v="TRK84984764"/>
    <n v="4"/>
    <s v="NONE"/>
    <s v="Email"/>
    <n v="441.8"/>
  </r>
  <r>
    <s v="ORD200248"/>
    <x v="226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s v="Returned"/>
    <s v="TRK67954150"/>
    <n v="8"/>
    <s v="SAVE10"/>
    <s v="Email"/>
    <n v="128.85"/>
  </r>
  <r>
    <s v="ORD200251"/>
    <x v="229"/>
    <s v="C93175"/>
    <x v="0"/>
    <n v="4"/>
    <n v="14.69"/>
    <s v="814 Main St"/>
    <x v="4"/>
    <s v="Cancelled"/>
    <s v="TRK32995144"/>
    <n v="9"/>
    <s v="NONE"/>
    <s v="Email"/>
    <n v="58.76"/>
  </r>
  <r>
    <s v="ORD200252"/>
    <x v="28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x v="1"/>
    <s v="Delivered"/>
    <s v="TRK34809583"/>
    <n v="5"/>
    <s v="NONE"/>
    <s v="Instagram"/>
    <n v="789.56999999999994"/>
  </r>
  <r>
    <s v="ORD200255"/>
    <x v="232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x v="0"/>
    <s v="Shipped"/>
    <s v="TRK22000463"/>
    <n v="3"/>
    <s v="NONE"/>
    <s v="Google"/>
    <n v="815.58"/>
  </r>
  <r>
    <s v="ORD200261"/>
    <x v="237"/>
    <s v="C68976"/>
    <x v="1"/>
    <n v="5"/>
    <n v="173.65"/>
    <s v="460 Main St"/>
    <x v="3"/>
    <s v="Delivered"/>
    <s v="TRK25491356"/>
    <n v="9"/>
    <s v="SAVE10"/>
    <s v="Email"/>
    <n v="868.25"/>
  </r>
  <r>
    <s v="ORD200262"/>
    <x v="238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x v="2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x v="0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s v="Delivered"/>
    <s v="TRK62361867"/>
    <n v="9"/>
    <s v="NONE"/>
    <s v="Facebook"/>
    <n v="2342.5500000000002"/>
  </r>
  <r>
    <s v="ORD200268"/>
    <x v="178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x v="2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x v="1"/>
    <s v="Cancelled"/>
    <s v="TRK91195261"/>
    <n v="7"/>
    <s v="FREESHIP"/>
    <s v="Email"/>
    <n v="476.5"/>
  </r>
  <r>
    <s v="ORD200274"/>
    <x v="246"/>
    <s v="C50967"/>
    <x v="1"/>
    <n v="2"/>
    <n v="182.4"/>
    <s v="884 Main St"/>
    <x v="3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x v="1"/>
    <s v="Pending"/>
    <s v="TRK12425655"/>
    <n v="7"/>
    <s v="WINTER15"/>
    <s v="Email"/>
    <n v="165.03"/>
  </r>
  <r>
    <s v="ORD200280"/>
    <x v="14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s v="Pending"/>
    <s v="TRK60093390"/>
    <n v="9"/>
    <s v="NONE"/>
    <s v="Referral"/>
    <n v="2619.16"/>
  </r>
  <r>
    <s v="ORD200282"/>
    <x v="251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s v="Shipped"/>
    <s v="TRK69745608"/>
    <n v="6"/>
    <s v="NONE"/>
    <s v="Google"/>
    <n v="2161.3200000000002"/>
  </r>
  <r>
    <s v="ORD200284"/>
    <x v="223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s v="Delivered"/>
    <s v="TRK93281700"/>
    <n v="3"/>
    <s v="NONE"/>
    <s v="Google"/>
    <n v="338.31"/>
  </r>
  <r>
    <s v="ORD200286"/>
    <x v="253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s v="Shipped"/>
    <s v="TRK26628830"/>
    <n v="5"/>
    <s v="NONE"/>
    <s v="Facebook"/>
    <n v="2620.7199999999998"/>
  </r>
  <r>
    <s v="ORD200288"/>
    <x v="255"/>
    <s v="C97643"/>
    <x v="5"/>
    <n v="4"/>
    <n v="512.75"/>
    <s v="537 Main St"/>
    <x v="0"/>
    <s v="Returned"/>
    <s v="TRK60831391"/>
    <n v="8"/>
    <s v="WINTER15"/>
    <s v="Google"/>
    <n v="2051"/>
  </r>
  <r>
    <s v="ORD200289"/>
    <x v="256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x v="4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x v="2"/>
    <s v="Delivered"/>
    <s v="TRK31042152"/>
    <n v="5"/>
    <s v="NONE"/>
    <s v="Facebook"/>
    <n v="65.95"/>
  </r>
  <r>
    <s v="ORD200293"/>
    <x v="223"/>
    <s v="C33220"/>
    <x v="2"/>
    <n v="4"/>
    <n v="463.04"/>
    <s v="564 Main St"/>
    <x v="3"/>
    <s v="Returned"/>
    <s v="TRK40450219"/>
    <n v="9"/>
    <s v="NONE"/>
    <s v="Instagram"/>
    <n v="1852.16"/>
  </r>
  <r>
    <s v="ORD200294"/>
    <x v="26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x v="1"/>
    <s v="Cancelled"/>
    <s v="TRK97825212"/>
    <n v="6"/>
    <s v="NONE"/>
    <s v="Email"/>
    <n v="1204.68"/>
  </r>
  <r>
    <s v="ORD200299"/>
    <x v="264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s v="Cancelled"/>
    <s v="TRK40149095"/>
    <n v="2"/>
    <s v="SAVE10"/>
    <s v="Email"/>
    <n v="583.99"/>
  </r>
  <r>
    <s v="ORD200302"/>
    <x v="22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x v="0"/>
    <s v="Returned"/>
    <s v="TRK95462192"/>
    <n v="1"/>
    <s v="NONE"/>
    <s v="Google"/>
    <n v="30.54"/>
  </r>
  <r>
    <s v="ORD200304"/>
    <x v="266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x v="0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x v="1"/>
    <s v="Delivered"/>
    <s v="TRK11755610"/>
    <n v="4"/>
    <s v="NONE"/>
    <s v="Email"/>
    <n v="1672.23"/>
  </r>
  <r>
    <s v="ORD200308"/>
    <x v="66"/>
    <s v="C75888"/>
    <x v="4"/>
    <n v="3"/>
    <n v="448.9"/>
    <s v="790 Main St"/>
    <x v="0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s v="Shipped"/>
    <s v="TRK16094218"/>
    <n v="4"/>
    <s v="NONE"/>
    <s v="Referral"/>
    <n v="397.43999999999988"/>
  </r>
  <r>
    <s v="ORD200311"/>
    <x v="271"/>
    <s v="C71698"/>
    <x v="6"/>
    <n v="5"/>
    <n v="489.37"/>
    <s v="274 Main St"/>
    <x v="1"/>
    <s v="Returned"/>
    <s v="TRK34786818"/>
    <n v="8"/>
    <s v="NONE"/>
    <s v="Instagram"/>
    <n v="2446.85"/>
  </r>
  <r>
    <s v="ORD200312"/>
    <x v="272"/>
    <s v="C35397"/>
    <x v="4"/>
    <n v="5"/>
    <n v="66.31"/>
    <s v="579 Main St"/>
    <x v="3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x v="4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x v="1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s v="Returned"/>
    <s v="TRK22575151"/>
    <n v="5"/>
    <s v="NONE"/>
    <s v="Instagram"/>
    <n v="279.89999999999998"/>
  </r>
  <r>
    <s v="ORD200318"/>
    <x v="277"/>
    <s v="C93375"/>
    <x v="3"/>
    <n v="3"/>
    <n v="148.72"/>
    <s v="317 Main St"/>
    <x v="0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s v="Returned"/>
    <s v="TRK48974907"/>
    <n v="6"/>
    <s v="NONE"/>
    <s v="Instagram"/>
    <n v="1126.1199999999999"/>
  </r>
  <r>
    <s v="ORD200320"/>
    <x v="36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s v="Returned"/>
    <s v="TRK70193221"/>
    <n v="5"/>
    <s v="NONE"/>
    <s v="Referral"/>
    <n v="212.79"/>
  </r>
  <r>
    <s v="ORD200325"/>
    <x v="282"/>
    <s v="C53545"/>
    <x v="6"/>
    <n v="3"/>
    <n v="361.39"/>
    <s v="665 Main St"/>
    <x v="2"/>
    <s v="Shipped"/>
    <s v="TRK61123177"/>
    <n v="8"/>
    <s v="NONE"/>
    <s v="Referral"/>
    <n v="1084.17"/>
  </r>
  <r>
    <s v="ORD200326"/>
    <x v="283"/>
    <s v="C65986"/>
    <x v="5"/>
    <n v="5"/>
    <n v="670.48"/>
    <s v="273 Main St"/>
    <x v="3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x v="3"/>
    <s v="Cancelled"/>
    <s v="TRK43940016"/>
    <n v="5"/>
    <s v="SAVE10"/>
    <s v="Email"/>
    <n v="359.99"/>
  </r>
  <r>
    <s v="ORD200328"/>
    <x v="285"/>
    <s v="C18404"/>
    <x v="2"/>
    <n v="5"/>
    <n v="674.04"/>
    <s v="546 Main St"/>
    <x v="1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s v="Shipped"/>
    <s v="TRK63224811"/>
    <n v="6"/>
    <s v="NONE"/>
    <s v="Google"/>
    <n v="1132.6400000000001"/>
  </r>
  <r>
    <s v="ORD200330"/>
    <x v="287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s v="Pending"/>
    <s v="TRK67499316"/>
    <n v="9"/>
    <s v="SAVE10"/>
    <s v="Google"/>
    <n v="625.1"/>
  </r>
  <r>
    <s v="ORD200333"/>
    <x v="162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x v="3"/>
    <s v="Shipped"/>
    <s v="TRK34801199"/>
    <n v="4"/>
    <s v="NONE"/>
    <s v="Email"/>
    <n v="617.58000000000004"/>
  </r>
  <r>
    <s v="ORD200336"/>
    <x v="10"/>
    <s v="C88174"/>
    <x v="5"/>
    <n v="1"/>
    <n v="18.2"/>
    <s v="441 Main St"/>
    <x v="0"/>
    <s v="Pending"/>
    <s v="TRK10143345"/>
    <n v="4"/>
    <s v="SAVE10"/>
    <s v="Instagram"/>
    <n v="18.2"/>
  </r>
  <r>
    <s v="ORD200337"/>
    <x v="292"/>
    <s v="C77763"/>
    <x v="2"/>
    <n v="3"/>
    <n v="502.77"/>
    <s v="599 Main St"/>
    <x v="0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x v="0"/>
    <s v="Shipped"/>
    <s v="TRK64112352"/>
    <n v="10"/>
    <s v="NONE"/>
    <s v="Referral"/>
    <n v="1527.45"/>
  </r>
  <r>
    <s v="ORD200339"/>
    <x v="294"/>
    <s v="C84563"/>
    <x v="4"/>
    <n v="2"/>
    <n v="236.33"/>
    <s v="398 Main St"/>
    <x v="1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x v="4"/>
    <s v="Cancelled"/>
    <s v="TRK25569378"/>
    <n v="8"/>
    <s v="NONE"/>
    <s v="Email"/>
    <n v="2606.25"/>
  </r>
  <r>
    <s v="ORD200341"/>
    <x v="296"/>
    <s v="C94671"/>
    <x v="2"/>
    <n v="1"/>
    <n v="167.15"/>
    <s v="293 Main St"/>
    <x v="3"/>
    <s v="Shipped"/>
    <s v="TRK61357272"/>
    <n v="5"/>
    <s v="WINTER15"/>
    <s v="Email"/>
    <n v="167.15"/>
  </r>
  <r>
    <s v="ORD200342"/>
    <x v="53"/>
    <s v="C69994"/>
    <x v="0"/>
    <n v="5"/>
    <n v="466.42"/>
    <s v="619 Main St"/>
    <x v="3"/>
    <s v="Returned"/>
    <s v="TRK95935805"/>
    <n v="5"/>
    <s v="NONE"/>
    <s v="Referral"/>
    <n v="2332.1"/>
  </r>
  <r>
    <s v="ORD200343"/>
    <x v="297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s v="Pending"/>
    <s v="TRK44680433"/>
    <n v="6"/>
    <s v="NONE"/>
    <s v="Referral"/>
    <n v="655.09"/>
  </r>
  <r>
    <s v="ORD200347"/>
    <x v="3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x v="1"/>
    <s v="Shipped"/>
    <s v="TRK60127216"/>
    <n v="6"/>
    <s v="NONE"/>
    <s v="Instagram"/>
    <n v="108.82"/>
  </r>
  <r>
    <s v="ORD200351"/>
    <x v="302"/>
    <s v="C94248"/>
    <x v="5"/>
    <n v="1"/>
    <n v="64.66"/>
    <s v="494 Main St"/>
    <x v="0"/>
    <s v="Delivered"/>
    <s v="TRK89406816"/>
    <n v="4"/>
    <s v="NONE"/>
    <s v="Instagram"/>
    <n v="64.66"/>
  </r>
  <r>
    <s v="ORD200352"/>
    <x v="303"/>
    <s v="C26637"/>
    <x v="3"/>
    <n v="5"/>
    <n v="173.96"/>
    <s v="995 Main St"/>
    <x v="0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s v="Shipped"/>
    <s v="TRK11970357"/>
    <n v="4"/>
    <s v="NONE"/>
    <s v="Instagram"/>
    <n v="693.41"/>
  </r>
  <r>
    <s v="ORD200355"/>
    <x v="305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x v="1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s v="Pending"/>
    <s v="TRK34630612"/>
    <n v="8"/>
    <s v="NONE"/>
    <s v="Instagram"/>
    <n v="2358.2800000000002"/>
  </r>
  <r>
    <s v="ORD200361"/>
    <x v="31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x v="2"/>
    <s v="Pending"/>
    <s v="TRK42584392"/>
    <n v="6"/>
    <s v="SAVE10"/>
    <s v="Email"/>
    <n v="569.35"/>
  </r>
  <r>
    <s v="ORD200364"/>
    <x v="254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x v="0"/>
    <s v="Pending"/>
    <s v="TRK40630538"/>
    <n v="8"/>
    <s v="NONE"/>
    <s v="Referral"/>
    <n v="1806.72"/>
  </r>
  <r>
    <s v="ORD200367"/>
    <x v="313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x v="2"/>
    <s v="Cancelled"/>
    <s v="TRK89728869"/>
    <n v="6"/>
    <s v="NONE"/>
    <s v="Google"/>
    <n v="813.06"/>
  </r>
  <r>
    <s v="ORD200369"/>
    <x v="70"/>
    <s v="C43545"/>
    <x v="0"/>
    <n v="5"/>
    <n v="375.25"/>
    <s v="216 Main St"/>
    <x v="3"/>
    <s v="Pending"/>
    <s v="TRK73937402"/>
    <n v="9"/>
    <s v="SAVE10"/>
    <s v="Email"/>
    <n v="1876.25"/>
  </r>
  <r>
    <s v="ORD200370"/>
    <x v="12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x v="3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x v="4"/>
    <s v="Returned"/>
    <s v="TRK12123939"/>
    <n v="4"/>
    <s v="NONE"/>
    <s v="Referral"/>
    <n v="1450.59"/>
  </r>
  <r>
    <s v="ORD200373"/>
    <x v="315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x v="3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x v="1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x v="2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x v="1"/>
    <s v="Shipped"/>
    <s v="TRK85756094"/>
    <n v="6"/>
    <s v="NONE"/>
    <s v="Google"/>
    <n v="893.01"/>
  </r>
  <r>
    <s v="ORD200380"/>
    <x v="322"/>
    <s v="C35355"/>
    <x v="4"/>
    <n v="4"/>
    <n v="331.9"/>
    <s v="127 Main St"/>
    <x v="4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x v="1"/>
    <s v="Returned"/>
    <s v="TRK32588504"/>
    <n v="4"/>
    <s v="NONE"/>
    <s v="Email"/>
    <n v="93.02"/>
  </r>
  <r>
    <s v="ORD200387"/>
    <x v="326"/>
    <s v="C25316"/>
    <x v="4"/>
    <n v="2"/>
    <n v="39.53"/>
    <s v="904 Main St"/>
    <x v="2"/>
    <s v="Shipped"/>
    <s v="TRK55423551"/>
    <n v="3"/>
    <s v="WINTER15"/>
    <s v="Google"/>
    <n v="79.06"/>
  </r>
  <r>
    <s v="ORD200388"/>
    <x v="153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x v="4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s v="Returned"/>
    <s v="TRK24632134"/>
    <n v="3"/>
    <s v="NONE"/>
    <s v="Google"/>
    <n v="75.010000000000005"/>
  </r>
  <r>
    <s v="ORD200394"/>
    <x v="176"/>
    <s v="C70148"/>
    <x v="6"/>
    <n v="5"/>
    <n v="529.54999999999995"/>
    <s v="359 Main St"/>
    <x v="3"/>
    <s v="Shipped"/>
    <s v="TRK34848650"/>
    <n v="10"/>
    <s v="NONE"/>
    <s v="Facebook"/>
    <n v="2647.75"/>
  </r>
  <r>
    <s v="ORD200395"/>
    <x v="331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x v="1"/>
    <s v="Shipped"/>
    <s v="TRK82004594"/>
    <n v="10"/>
    <s v="SAVE10"/>
    <s v="Email"/>
    <n v="1435.65"/>
  </r>
  <r>
    <s v="ORD200397"/>
    <x v="332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s v="Returned"/>
    <s v="TRK14225465"/>
    <n v="6"/>
    <s v="NONE"/>
    <s v="Referral"/>
    <n v="538.67999999999995"/>
  </r>
  <r>
    <s v="ORD200402"/>
    <x v="336"/>
    <s v="C83026"/>
    <x v="4"/>
    <n v="5"/>
    <n v="337.38"/>
    <s v="858 Main St"/>
    <x v="3"/>
    <s v="Shipped"/>
    <s v="TRK79746259"/>
    <n v="5"/>
    <s v="NONE"/>
    <s v="Referral"/>
    <n v="1686.9"/>
  </r>
  <r>
    <s v="ORD200403"/>
    <x v="337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x v="4"/>
    <s v="Delivered"/>
    <s v="TRK54571699"/>
    <n v="6"/>
    <s v="NONE"/>
    <s v="Instagram"/>
    <n v="198.2"/>
  </r>
  <r>
    <s v="ORD200405"/>
    <x v="281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x v="0"/>
    <s v="Shipped"/>
    <s v="TRK52470162"/>
    <n v="5"/>
    <s v="NONE"/>
    <s v="Email"/>
    <n v="1036.46"/>
  </r>
  <r>
    <s v="ORD200411"/>
    <x v="83"/>
    <s v="C66567"/>
    <x v="6"/>
    <n v="2"/>
    <n v="39.51"/>
    <s v="981 Main St"/>
    <x v="1"/>
    <s v="Shipped"/>
    <s v="TRK21174822"/>
    <n v="5"/>
    <s v="NONE"/>
    <s v="Facebook"/>
    <n v="79.02"/>
  </r>
  <r>
    <s v="ORD200412"/>
    <x v="344"/>
    <s v="C42451"/>
    <x v="2"/>
    <n v="5"/>
    <n v="133.01"/>
    <s v="246 Main St"/>
    <x v="2"/>
    <s v="Returned"/>
    <s v="TRK31313343"/>
    <n v="10"/>
    <s v="NONE"/>
    <s v="Facebook"/>
    <n v="665.05"/>
  </r>
  <r>
    <s v="ORD200413"/>
    <x v="345"/>
    <s v="C13923"/>
    <x v="2"/>
    <n v="1"/>
    <n v="118.8"/>
    <s v="123 Main St"/>
    <x v="1"/>
    <s v="Delivered"/>
    <s v="TRK87598790"/>
    <n v="6"/>
    <s v="SAVE10"/>
    <s v="Email"/>
    <n v="118.8"/>
  </r>
  <r>
    <s v="ORD200414"/>
    <x v="346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s v="Cancelled"/>
    <s v="TRK51429869"/>
    <n v="5"/>
    <s v="NONE"/>
    <s v="Google"/>
    <n v="277.05"/>
  </r>
  <r>
    <s v="ORD200418"/>
    <x v="348"/>
    <s v="C74169"/>
    <x v="4"/>
    <n v="1"/>
    <n v="310.93"/>
    <s v="862 Main St"/>
    <x v="1"/>
    <s v="Cancelled"/>
    <s v="TRK66144809"/>
    <n v="3"/>
    <s v="NONE"/>
    <s v="Facebook"/>
    <n v="310.93"/>
  </r>
  <r>
    <s v="ORD200419"/>
    <x v="349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s v="Cancelled"/>
    <s v="TRK53032122"/>
    <n v="5"/>
    <s v="NONE"/>
    <s v="Email"/>
    <n v="576.41999999999996"/>
  </r>
  <r>
    <s v="ORD200422"/>
    <x v="32"/>
    <s v="C76140"/>
    <x v="1"/>
    <n v="4"/>
    <n v="206.6"/>
    <s v="914 Main St"/>
    <x v="3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x v="3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x v="4"/>
    <s v="Pending"/>
    <s v="TRK64012257"/>
    <n v="10"/>
    <s v="NONE"/>
    <s v="Email"/>
    <n v="114.7"/>
  </r>
  <r>
    <s v="ORD200425"/>
    <x v="338"/>
    <s v="C40648"/>
    <x v="5"/>
    <n v="2"/>
    <n v="301.88"/>
    <s v="488 Main St"/>
    <x v="3"/>
    <s v="Returned"/>
    <s v="TRK25325993"/>
    <n v="5"/>
    <s v="WINTER15"/>
    <s v="Email"/>
    <n v="603.76"/>
  </r>
  <r>
    <s v="ORD200426"/>
    <x v="353"/>
    <s v="C40967"/>
    <x v="0"/>
    <n v="5"/>
    <n v="57.45"/>
    <s v="315 Main St"/>
    <x v="4"/>
    <s v="Cancelled"/>
    <s v="TRK24839296"/>
    <n v="10"/>
    <s v="NONE"/>
    <s v="Facebook"/>
    <n v="287.25"/>
  </r>
  <r>
    <s v="ORD200427"/>
    <x v="144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s v="Shipped"/>
    <s v="TRK44134016"/>
    <n v="6"/>
    <s v="FREESHIP"/>
    <s v="Google"/>
    <n v="450.07"/>
  </r>
  <r>
    <s v="ORD200431"/>
    <x v="354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x v="2"/>
    <s v="Returned"/>
    <s v="TRK77163738"/>
    <n v="6"/>
    <s v="NONE"/>
    <s v="Referral"/>
    <n v="848.64"/>
  </r>
  <r>
    <s v="ORD200433"/>
    <x v="46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x v="2"/>
    <s v="Returned"/>
    <s v="TRK85939879"/>
    <n v="6"/>
    <s v="NONE"/>
    <s v="Facebook"/>
    <n v="1638.4"/>
  </r>
  <r>
    <s v="ORD200435"/>
    <x v="156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x v="1"/>
    <s v="Pending"/>
    <s v="TRK73545796"/>
    <n v="5"/>
    <s v="NONE"/>
    <s v="Google"/>
    <n v="885.32"/>
  </r>
  <r>
    <s v="ORD200437"/>
    <x v="171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x v="0"/>
    <s v="Pending"/>
    <s v="TRK31727767"/>
    <n v="4"/>
    <s v="SAVE10"/>
    <s v="Facebook"/>
    <n v="334.4"/>
  </r>
  <r>
    <s v="ORD200441"/>
    <x v="141"/>
    <s v="C52915"/>
    <x v="4"/>
    <n v="2"/>
    <n v="328.54"/>
    <s v="475 Main St"/>
    <x v="3"/>
    <s v="Returned"/>
    <s v="TRK79466982"/>
    <n v="6"/>
    <s v="FREESHIP"/>
    <s v="Email"/>
    <n v="657.08"/>
  </r>
  <r>
    <s v="ORD200442"/>
    <x v="4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x v="4"/>
    <s v="Returned"/>
    <s v="TRK58970302"/>
    <n v="6"/>
    <s v="NONE"/>
    <s v="Facebook"/>
    <n v="139.28"/>
  </r>
  <r>
    <s v="ORD200444"/>
    <x v="18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x v="4"/>
    <s v="Returned"/>
    <s v="TRK45355655"/>
    <n v="2"/>
    <s v="NONE"/>
    <s v="Facebook"/>
    <n v="833.62"/>
  </r>
  <r>
    <s v="ORD200448"/>
    <x v="355"/>
    <s v="C16776"/>
    <x v="5"/>
    <n v="2"/>
    <n v="160"/>
    <s v="854 Main St"/>
    <x v="4"/>
    <s v="Pending"/>
    <s v="TRK12860600"/>
    <n v="4"/>
    <s v="SAVE10"/>
    <s v="Instagram"/>
    <n v="320"/>
  </r>
  <r>
    <s v="ORD200449"/>
    <x v="360"/>
    <s v="C91518"/>
    <x v="2"/>
    <n v="3"/>
    <n v="253.05"/>
    <s v="286 Main St"/>
    <x v="1"/>
    <s v="Pending"/>
    <s v="TRK48688724"/>
    <n v="3"/>
    <s v="NONE"/>
    <s v="Instagram"/>
    <n v="759.15000000000009"/>
  </r>
  <r>
    <s v="ORD200450"/>
    <x v="361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x v="0"/>
    <s v="Cancelled"/>
    <s v="TRK17501136"/>
    <n v="6"/>
    <s v="SAVE10"/>
    <s v="Email"/>
    <n v="183.18"/>
  </r>
  <r>
    <s v="ORD200452"/>
    <x v="363"/>
    <s v="C36467"/>
    <x v="4"/>
    <n v="1"/>
    <n v="75.78"/>
    <s v="581 Main St"/>
    <x v="4"/>
    <s v="Pending"/>
    <s v="TRK20863987"/>
    <n v="5"/>
    <s v="SAVE10"/>
    <s v="Google"/>
    <n v="75.78"/>
  </r>
  <r>
    <s v="ORD200453"/>
    <x v="201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x v="2"/>
    <s v="Returned"/>
    <s v="TRK39717191"/>
    <n v="2"/>
    <s v="NONE"/>
    <s v="Instagram"/>
    <n v="334.39"/>
  </r>
  <r>
    <s v="ORD200460"/>
    <x v="354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x v="2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x v="1"/>
    <s v="Cancelled"/>
    <s v="TRK32796086"/>
    <n v="1"/>
    <s v="NONE"/>
    <s v="Referral"/>
    <n v="252.68"/>
  </r>
  <r>
    <s v="ORD200463"/>
    <x v="68"/>
    <s v="C25276"/>
    <x v="5"/>
    <n v="5"/>
    <n v="662.78"/>
    <s v="214 Main St"/>
    <x v="0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x v="3"/>
    <s v="Cancelled"/>
    <s v="TRK65438300"/>
    <n v="8"/>
    <s v="NONE"/>
    <s v="Google"/>
    <n v="2567.4499999999998"/>
  </r>
  <r>
    <s v="ORD200466"/>
    <x v="202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x v="4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x v="4"/>
    <s v="Cancelled"/>
    <s v="TRK17254691"/>
    <n v="5"/>
    <s v="NONE"/>
    <s v="Facebook"/>
    <n v="3384.9"/>
  </r>
  <r>
    <s v="ORD200470"/>
    <x v="372"/>
    <s v="C25149"/>
    <x v="2"/>
    <n v="4"/>
    <n v="263.62"/>
    <s v="672 Main St"/>
    <x v="4"/>
    <s v="Shipped"/>
    <s v="TRK33538608"/>
    <n v="5"/>
    <s v="SAVE10"/>
    <s v="Email"/>
    <n v="1054.48"/>
  </r>
  <r>
    <s v="ORD200471"/>
    <x v="373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x v="1"/>
    <s v="Shipped"/>
    <s v="TRK71597160"/>
    <n v="4"/>
    <s v="NONE"/>
    <s v="Facebook"/>
    <n v="29.86"/>
  </r>
  <r>
    <s v="ORD200474"/>
    <x v="375"/>
    <s v="C72293"/>
    <x v="4"/>
    <n v="3"/>
    <n v="229.34"/>
    <s v="398 Main St"/>
    <x v="2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x v="1"/>
    <s v="Shipped"/>
    <s v="TRK13166044"/>
    <n v="5"/>
    <s v="SAVE10"/>
    <s v="Google"/>
    <n v="507.48"/>
  </r>
  <r>
    <s v="ORD200478"/>
    <x v="377"/>
    <s v="C16758"/>
    <x v="2"/>
    <n v="3"/>
    <n v="62.77"/>
    <s v="914 Main St"/>
    <x v="3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x v="2"/>
    <s v="Pending"/>
    <s v="TRK21429162"/>
    <n v="8"/>
    <s v="NONE"/>
    <s v="Google"/>
    <n v="101.16"/>
  </r>
  <r>
    <s v="ORD200480"/>
    <x v="379"/>
    <s v="C21147"/>
    <x v="3"/>
    <n v="1"/>
    <n v="335.1"/>
    <s v="126 Main St"/>
    <x v="0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x v="1"/>
    <s v="Pending"/>
    <s v="TRK22302049"/>
    <n v="6"/>
    <s v="NONE"/>
    <s v="Instagram"/>
    <n v="1144.23"/>
  </r>
  <r>
    <s v="ORD200483"/>
    <x v="381"/>
    <s v="C66462"/>
    <x v="1"/>
    <n v="5"/>
    <n v="347.92"/>
    <s v="982 Main St"/>
    <x v="4"/>
    <s v="Pending"/>
    <s v="TRK52743700"/>
    <n v="6"/>
    <s v="WINTER15"/>
    <s v="Google"/>
    <n v="1739.6"/>
  </r>
  <r>
    <s v="ORD200484"/>
    <x v="382"/>
    <s v="C29092"/>
    <x v="3"/>
    <n v="4"/>
    <n v="15.01"/>
    <s v="767 Main St"/>
    <x v="4"/>
    <s v="Cancelled"/>
    <s v="TRK90455340"/>
    <n v="6"/>
    <s v="NONE"/>
    <s v="Facebook"/>
    <n v="60.04"/>
  </r>
  <r>
    <s v="ORD200485"/>
    <x v="383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x v="2"/>
    <s v="Pending"/>
    <s v="TRK92924852"/>
    <n v="3"/>
    <s v="SAVE10"/>
    <s v="Google"/>
    <n v="1039.56"/>
  </r>
  <r>
    <s v="ORD200488"/>
    <x v="194"/>
    <s v="C81573"/>
    <x v="3"/>
    <n v="1"/>
    <n v="36.65"/>
    <s v="556 Main St"/>
    <x v="1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x v="3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x v="1"/>
    <s v="Cancelled"/>
    <s v="TRK62785150"/>
    <n v="10"/>
    <s v="NONE"/>
    <s v="Facebook"/>
    <n v="2339.0500000000002"/>
  </r>
  <r>
    <s v="ORD200491"/>
    <x v="314"/>
    <s v="C98168"/>
    <x v="1"/>
    <n v="5"/>
    <n v="420.7"/>
    <s v="481 Main St"/>
    <x v="4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x v="0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x v="0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x v="1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x v="3"/>
    <s v="Shipped"/>
    <s v="TRK77358113"/>
    <n v="6"/>
    <s v="NONE"/>
    <s v="Google"/>
    <n v="336.87"/>
  </r>
  <r>
    <s v="ORD200498"/>
    <x v="219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x v="2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x v="0"/>
    <s v="Returned"/>
    <s v="TRK65718848"/>
    <n v="7"/>
    <s v="SAVE10"/>
    <s v="Email"/>
    <n v="1695.75"/>
  </r>
  <r>
    <s v="ORD200503"/>
    <x v="303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x v="1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x v="1"/>
    <s v="Shipped"/>
    <s v="TRK97246526"/>
    <n v="7"/>
    <s v="NONE"/>
    <s v="Email"/>
    <n v="869.94"/>
  </r>
  <r>
    <s v="ORD200506"/>
    <x v="284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x v="2"/>
    <s v="Pending"/>
    <s v="TRK87513944"/>
    <n v="5"/>
    <s v="WINTER15"/>
    <s v="Email"/>
    <n v="171.59"/>
  </r>
  <r>
    <s v="ORD200508"/>
    <x v="391"/>
    <s v="C39550"/>
    <x v="1"/>
    <n v="1"/>
    <n v="558.27"/>
    <s v="976 Main St"/>
    <x v="1"/>
    <s v="Delivered"/>
    <s v="TRK24120267"/>
    <n v="1"/>
    <s v="NONE"/>
    <s v="Referral"/>
    <n v="558.27"/>
  </r>
  <r>
    <s v="ORD200509"/>
    <x v="392"/>
    <s v="C68937"/>
    <x v="5"/>
    <n v="2"/>
    <n v="425.03"/>
    <s v="560 Main St"/>
    <x v="4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x v="0"/>
    <s v="Delivered"/>
    <s v="TRK51288986"/>
    <n v="5"/>
    <s v="SAVE10"/>
    <s v="Email"/>
    <n v="376.76"/>
  </r>
  <r>
    <s v="ORD200511"/>
    <x v="394"/>
    <s v="C11415"/>
    <x v="0"/>
    <n v="5"/>
    <n v="575.24"/>
    <s v="267 Main St"/>
    <x v="4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x v="3"/>
    <s v="Shipped"/>
    <s v="TRK37053575"/>
    <n v="8"/>
    <s v="NONE"/>
    <s v="Referral"/>
    <n v="284.64"/>
  </r>
  <r>
    <s v="ORD200514"/>
    <x v="397"/>
    <s v="C15629"/>
    <x v="4"/>
    <n v="3"/>
    <n v="304.14999999999998"/>
    <s v="492 Main St"/>
    <x v="3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x v="4"/>
    <s v="Returned"/>
    <s v="TRK28855040"/>
    <n v="8"/>
    <s v="NONE"/>
    <s v="Facebook"/>
    <n v="500.97"/>
  </r>
  <r>
    <s v="ORD200517"/>
    <x v="398"/>
    <s v="C55205"/>
    <x v="2"/>
    <n v="4"/>
    <n v="198.35"/>
    <s v="943 Main St"/>
    <x v="4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x v="1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x v="0"/>
    <s v="Returned"/>
    <s v="TRK66010667"/>
    <n v="5"/>
    <s v="SAVE10"/>
    <s v="Email"/>
    <n v="1857.16"/>
  </r>
  <r>
    <s v="ORD200520"/>
    <x v="401"/>
    <s v="C66332"/>
    <x v="0"/>
    <n v="3"/>
    <n v="635.98"/>
    <s v="959 Main St"/>
    <x v="4"/>
    <s v="Returned"/>
    <s v="TRK27063398"/>
    <n v="5"/>
    <s v="NONE"/>
    <s v="Referral"/>
    <n v="1907.94"/>
  </r>
  <r>
    <s v="ORD200521"/>
    <x v="402"/>
    <s v="C82318"/>
    <x v="1"/>
    <n v="1"/>
    <n v="528.05999999999995"/>
    <s v="991 Main St"/>
    <x v="2"/>
    <s v="Shipped"/>
    <s v="TRK37534165"/>
    <n v="2"/>
    <s v="NONE"/>
    <s v="Facebook"/>
    <n v="528.05999999999995"/>
  </r>
  <r>
    <s v="ORD200522"/>
    <x v="322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x v="385"/>
    <s v="C44778"/>
    <x v="1"/>
    <n v="1"/>
    <n v="153"/>
    <s v="103 Main St"/>
    <x v="2"/>
    <s v="Returned"/>
    <s v="TRK92617366"/>
    <n v="4"/>
    <s v="NONE"/>
    <s v="Referral"/>
    <n v="153"/>
  </r>
  <r>
    <s v="ORD200525"/>
    <x v="404"/>
    <s v="C54499"/>
    <x v="0"/>
    <n v="1"/>
    <n v="668.48"/>
    <s v="160 Main St"/>
    <x v="0"/>
    <s v="Shipped"/>
    <s v="TRK18061555"/>
    <n v="1"/>
    <s v="SAVE10"/>
    <s v="Email"/>
    <n v="668.48"/>
  </r>
  <r>
    <s v="ORD200526"/>
    <x v="405"/>
    <s v="C91201"/>
    <x v="6"/>
    <n v="2"/>
    <n v="46.5"/>
    <s v="837 Main St"/>
    <x v="4"/>
    <s v="Returned"/>
    <s v="TRK63526023"/>
    <n v="7"/>
    <s v="WINTER15"/>
    <s v="Google"/>
    <n v="93"/>
  </r>
  <r>
    <s v="ORD200527"/>
    <x v="406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x v="2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x v="4"/>
    <s v="Pending"/>
    <s v="TRK50363421"/>
    <n v="4"/>
    <s v="FREESHIP"/>
    <s v="Google"/>
    <n v="1350.2"/>
  </r>
  <r>
    <s v="ORD200530"/>
    <x v="408"/>
    <s v="C98450"/>
    <x v="3"/>
    <n v="4"/>
    <n v="89.41"/>
    <s v="613 Main St"/>
    <x v="1"/>
    <s v="Pending"/>
    <s v="TRK14809530"/>
    <n v="9"/>
    <s v="NONE"/>
    <s v="Google"/>
    <n v="357.64"/>
  </r>
  <r>
    <s v="ORD200531"/>
    <x v="367"/>
    <s v="C64502"/>
    <x v="6"/>
    <n v="5"/>
    <n v="320.01"/>
    <s v="722 Main St"/>
    <x v="3"/>
    <s v="Delivered"/>
    <s v="TRK14914388"/>
    <n v="6"/>
    <s v="NONE"/>
    <s v="Referral"/>
    <n v="1600.05"/>
  </r>
  <r>
    <s v="ORD200532"/>
    <x v="120"/>
    <s v="C47365"/>
    <x v="5"/>
    <n v="2"/>
    <n v="41"/>
    <s v="369 Main St"/>
    <x v="1"/>
    <s v="Delivered"/>
    <s v="TRK42207882"/>
    <n v="7"/>
    <s v="NONE"/>
    <s v="Email"/>
    <n v="82"/>
  </r>
  <r>
    <s v="ORD200533"/>
    <x v="409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x v="0"/>
    <s v="Cancelled"/>
    <s v="TRK70872738"/>
    <n v="4"/>
    <s v="SAVE10"/>
    <s v="Email"/>
    <n v="1945.77"/>
  </r>
  <r>
    <s v="ORD200535"/>
    <x v="25"/>
    <s v="C48649"/>
    <x v="0"/>
    <n v="3"/>
    <n v="68.12"/>
    <s v="332 Main St"/>
    <x v="1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x v="4"/>
    <s v="Returned"/>
    <s v="TRK52508861"/>
    <n v="6"/>
    <s v="NONE"/>
    <s v="Email"/>
    <n v="616.1"/>
  </r>
  <r>
    <s v="ORD200537"/>
    <x v="411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x v="4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x v="3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x v="1"/>
    <s v="Pending"/>
    <s v="TRK81765057"/>
    <n v="7"/>
    <s v="NONE"/>
    <s v="Referral"/>
    <n v="3243.25"/>
  </r>
  <r>
    <s v="ORD200541"/>
    <x v="413"/>
    <s v="C69009"/>
    <x v="4"/>
    <n v="5"/>
    <n v="456.06"/>
    <s v="879 Main St"/>
    <x v="4"/>
    <s v="Pending"/>
    <s v="TRK61295842"/>
    <n v="10"/>
    <s v="NONE"/>
    <s v="Instagram"/>
    <n v="2280.3000000000002"/>
  </r>
  <r>
    <s v="ORD200542"/>
    <x v="414"/>
    <s v="C49726"/>
    <x v="2"/>
    <n v="1"/>
    <n v="17.98"/>
    <s v="934 Main St"/>
    <x v="4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s v="Returned"/>
    <s v="TRK74091695"/>
    <n v="3"/>
    <s v="NONE"/>
    <s v="Instagram"/>
    <n v="196.94"/>
  </r>
  <r>
    <s v="ORD200546"/>
    <x v="417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x v="4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x v="0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x v="4"/>
    <s v="Shipped"/>
    <s v="TRK89306964"/>
    <n v="2"/>
    <s v="NONE"/>
    <s v="Facebook"/>
    <n v="92.04"/>
  </r>
  <r>
    <s v="ORD200556"/>
    <x v="423"/>
    <s v="C30923"/>
    <x v="5"/>
    <n v="1"/>
    <n v="654.27"/>
    <s v="932 Main St"/>
    <x v="3"/>
    <s v="Pending"/>
    <s v="TRK82609328"/>
    <n v="2"/>
    <s v="SAVE10"/>
    <s v="Facebook"/>
    <n v="654.27"/>
  </r>
  <r>
    <s v="ORD200557"/>
    <x v="282"/>
    <s v="C56969"/>
    <x v="2"/>
    <n v="1"/>
    <n v="56.2"/>
    <s v="130 Main St"/>
    <x v="0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x v="0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x v="3"/>
    <s v="Pending"/>
    <s v="TRK93168008"/>
    <n v="7"/>
    <s v="NONE"/>
    <s v="Email"/>
    <n v="2355.4"/>
  </r>
  <r>
    <s v="ORD200561"/>
    <x v="425"/>
    <s v="C96822"/>
    <x v="4"/>
    <n v="2"/>
    <n v="494.78"/>
    <s v="198 Main St"/>
    <x v="1"/>
    <s v="Shipped"/>
    <s v="TRK89180077"/>
    <n v="2"/>
    <s v="NONE"/>
    <s v="Google"/>
    <n v="989.56"/>
  </r>
  <r>
    <s v="ORD200562"/>
    <x v="426"/>
    <s v="C76675"/>
    <x v="5"/>
    <n v="3"/>
    <n v="663.93"/>
    <s v="922 Main St"/>
    <x v="3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x v="0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x v="1"/>
    <s v="Pending"/>
    <s v="TRK42605492"/>
    <n v="10"/>
    <s v="NONE"/>
    <s v="Facebook"/>
    <n v="1539.9"/>
  </r>
  <r>
    <s v="ORD200566"/>
    <x v="171"/>
    <s v="C83223"/>
    <x v="1"/>
    <n v="4"/>
    <n v="162.71"/>
    <s v="167 Main St"/>
    <x v="4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s v="Delivered"/>
    <s v="TRK72334047"/>
    <n v="4"/>
    <s v="NONE"/>
    <s v="Google"/>
    <n v="687.98"/>
  </r>
  <r>
    <s v="ORD200569"/>
    <x v="29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x v="3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s v="Cancelled"/>
    <s v="TRK30686578"/>
    <n v="7"/>
    <s v="NONE"/>
    <s v="Instagram"/>
    <n v="2107.1"/>
  </r>
  <r>
    <s v="ORD200574"/>
    <x v="434"/>
    <s v="C29685"/>
    <x v="3"/>
    <n v="5"/>
    <n v="384.69"/>
    <s v="275 Main St"/>
    <x v="2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x v="3"/>
    <s v="Returned"/>
    <s v="TRK61640534"/>
    <n v="7"/>
    <s v="SAVE10"/>
    <s v="Google"/>
    <n v="2240.75"/>
  </r>
  <r>
    <s v="ORD200576"/>
    <x v="382"/>
    <s v="C14457"/>
    <x v="5"/>
    <n v="5"/>
    <n v="79.08"/>
    <s v="747 Main St"/>
    <x v="4"/>
    <s v="Pending"/>
    <s v="TRK42517811"/>
    <n v="8"/>
    <s v="NONE"/>
    <s v="Facebook"/>
    <n v="395.4"/>
  </r>
  <r>
    <s v="ORD200577"/>
    <x v="55"/>
    <s v="C77046"/>
    <x v="2"/>
    <n v="4"/>
    <n v="185.41"/>
    <s v="967 Main St"/>
    <x v="1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x v="1"/>
    <s v="Delivered"/>
    <s v="TRK87158684"/>
    <n v="1"/>
    <s v="NONE"/>
    <s v="Referral"/>
    <n v="627.34"/>
  </r>
  <r>
    <s v="ORD200582"/>
    <x v="436"/>
    <s v="C15228"/>
    <x v="2"/>
    <n v="3"/>
    <n v="474.14"/>
    <s v="558 Main St"/>
    <x v="3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x v="3"/>
    <s v="Delivered"/>
    <s v="TRK29750379"/>
    <n v="4"/>
    <s v="NONE"/>
    <s v="Instagram"/>
    <n v="463.11"/>
  </r>
  <r>
    <s v="ORD200584"/>
    <x v="438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s v="Delivered"/>
    <s v="TRK47613918"/>
    <n v="9"/>
    <s v="NONE"/>
    <s v="Google"/>
    <n v="2311.2800000000002"/>
  </r>
  <r>
    <s v="ORD200589"/>
    <x v="441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x v="3"/>
    <s v="Returned"/>
    <s v="TRK27356242"/>
    <n v="4"/>
    <s v="NONE"/>
    <s v="Email"/>
    <n v="922.26"/>
  </r>
  <r>
    <s v="ORD200591"/>
    <x v="249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x v="1"/>
    <s v="Returned"/>
    <s v="TRK15499648"/>
    <n v="4"/>
    <s v="NONE"/>
    <s v="Google"/>
    <n v="612.81000000000006"/>
  </r>
  <r>
    <s v="ORD200593"/>
    <x v="443"/>
    <s v="C51024"/>
    <x v="0"/>
    <n v="1"/>
    <n v="489.8"/>
    <s v="636 Main St"/>
    <x v="3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x v="2"/>
    <s v="Cancelled"/>
    <s v="TRK12671989"/>
    <n v="7"/>
    <s v="NONE"/>
    <s v="Email"/>
    <n v="363.2"/>
  </r>
  <r>
    <s v="ORD200595"/>
    <x v="445"/>
    <s v="C72596"/>
    <x v="4"/>
    <n v="2"/>
    <n v="385.16"/>
    <s v="491 Main St"/>
    <x v="1"/>
    <s v="Pending"/>
    <s v="TRK83870446"/>
    <n v="7"/>
    <s v="SAVE10"/>
    <s v="Email"/>
    <n v="770.32"/>
  </r>
  <r>
    <s v="ORD200596"/>
    <x v="439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x v="3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x v="2"/>
    <s v="Pending"/>
    <s v="TRK59069987"/>
    <n v="5"/>
    <s v="NONE"/>
    <s v="Facebook"/>
    <n v="2476.75"/>
  </r>
  <r>
    <s v="ORD200599"/>
    <x v="3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x v="2"/>
    <s v="Shipped"/>
    <s v="TRK73935314"/>
    <n v="10"/>
    <s v="NONE"/>
    <s v="Referral"/>
    <n v="124.1"/>
  </r>
  <r>
    <s v="ORD200602"/>
    <x v="448"/>
    <s v="C35852"/>
    <x v="2"/>
    <n v="4"/>
    <n v="26.04"/>
    <s v="982 Main St"/>
    <x v="1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x v="4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s v="Delivered"/>
    <s v="TRK81368481"/>
    <n v="6"/>
    <s v="NONE"/>
    <s v="Facebook"/>
    <n v="97.859999999999985"/>
  </r>
  <r>
    <s v="ORD200605"/>
    <x v="451"/>
    <s v="C49605"/>
    <x v="0"/>
    <n v="2"/>
    <n v="228.91"/>
    <s v="892 Main St"/>
    <x v="0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x v="4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x v="3"/>
    <s v="Cancelled"/>
    <s v="TRK82377939"/>
    <n v="8"/>
    <s v="NONE"/>
    <s v="Google"/>
    <n v="1335.36"/>
  </r>
  <r>
    <s v="ORD200613"/>
    <x v="36"/>
    <s v="C62405"/>
    <x v="5"/>
    <n v="2"/>
    <n v="230.36"/>
    <s v="154 Main St"/>
    <x v="1"/>
    <s v="Returned"/>
    <s v="TRK14721763"/>
    <n v="4"/>
    <s v="WINTER15"/>
    <s v="Email"/>
    <n v="460.72"/>
  </r>
  <r>
    <s v="ORD200614"/>
    <x v="455"/>
    <s v="C77363"/>
    <x v="1"/>
    <n v="1"/>
    <n v="96.81"/>
    <s v="807 Main St"/>
    <x v="3"/>
    <s v="Cancelled"/>
    <s v="TRK12439827"/>
    <n v="3"/>
    <s v="NONE"/>
    <s v="Referral"/>
    <n v="96.81"/>
  </r>
  <r>
    <s v="ORD200615"/>
    <x v="456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x v="1"/>
    <s v="Cancelled"/>
    <s v="TRK75469057"/>
    <n v="4"/>
    <s v="NONE"/>
    <s v="Referral"/>
    <n v="553.41"/>
  </r>
  <r>
    <s v="ORD200618"/>
    <x v="459"/>
    <s v="C50565"/>
    <x v="2"/>
    <n v="1"/>
    <n v="411.34"/>
    <s v="399 Main St"/>
    <x v="0"/>
    <s v="Returned"/>
    <s v="TRK97981418"/>
    <n v="5"/>
    <s v="NONE"/>
    <s v="Instagram"/>
    <n v="411.34"/>
  </r>
  <r>
    <s v="ORD200619"/>
    <x v="424"/>
    <s v="C38845"/>
    <x v="5"/>
    <n v="1"/>
    <n v="532.89"/>
    <s v="764 Main St"/>
    <x v="3"/>
    <s v="Pending"/>
    <s v="TRK47637374"/>
    <n v="2"/>
    <s v="NONE"/>
    <s v="Referral"/>
    <n v="532.89"/>
  </r>
  <r>
    <s v="ORD200620"/>
    <x v="46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s v="Returned"/>
    <s v="TRK89314307"/>
    <n v="7"/>
    <s v="NONE"/>
    <s v="Facebook"/>
    <n v="1181.9000000000001"/>
  </r>
  <r>
    <s v="ORD200623"/>
    <x v="379"/>
    <s v="C91941"/>
    <x v="4"/>
    <n v="3"/>
    <n v="396"/>
    <s v="269 Main St"/>
    <x v="3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x v="0"/>
    <s v="Delivered"/>
    <s v="TRK88559278"/>
    <n v="6"/>
    <s v="NONE"/>
    <s v="Email"/>
    <n v="1709.8"/>
  </r>
  <r>
    <s v="ORD200625"/>
    <x v="463"/>
    <s v="C22123"/>
    <x v="2"/>
    <n v="1"/>
    <n v="672.89"/>
    <s v="519 Main St"/>
    <x v="2"/>
    <s v="Pending"/>
    <s v="TRK43250279"/>
    <n v="1"/>
    <s v="WINTER15"/>
    <s v="Email"/>
    <n v="672.89"/>
  </r>
  <r>
    <s v="ORD200626"/>
    <x v="417"/>
    <s v="C45671"/>
    <x v="2"/>
    <n v="2"/>
    <n v="657.48"/>
    <s v="769 Main St"/>
    <x v="1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x v="1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x v="1"/>
    <s v="Pending"/>
    <s v="TRK91836131"/>
    <n v="3"/>
    <s v="NONE"/>
    <s v="Referral"/>
    <n v="59.19"/>
  </r>
  <r>
    <s v="ORD200630"/>
    <x v="467"/>
    <s v="C51481"/>
    <x v="0"/>
    <n v="5"/>
    <n v="248.84"/>
    <s v="140 Main St"/>
    <x v="0"/>
    <s v="Cancelled"/>
    <s v="TRK33437701"/>
    <n v="10"/>
    <s v="NONE"/>
    <s v="Instagram"/>
    <n v="1244.2"/>
  </r>
  <r>
    <s v="ORD200631"/>
    <x v="169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x v="4"/>
    <s v="Returned"/>
    <s v="TRK40879983"/>
    <n v="6"/>
    <s v="NONE"/>
    <s v="Facebook"/>
    <n v="191.04"/>
  </r>
  <r>
    <s v="ORD200636"/>
    <x v="469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s v="Cancelled"/>
    <s v="TRK17415798"/>
    <n v="5"/>
    <s v="NONE"/>
    <s v="Referral"/>
    <n v="529.19000000000005"/>
  </r>
  <r>
    <s v="ORD200640"/>
    <x v="2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x v="4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s v="Shipped"/>
    <s v="TRK43262630"/>
    <n v="4"/>
    <s v="SAVE10"/>
    <s v="Google"/>
    <n v="1994.04"/>
  </r>
  <r>
    <s v="ORD200647"/>
    <x v="473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x v="3"/>
    <s v="Delivered"/>
    <s v="TRK93767278"/>
    <n v="7"/>
    <s v="SAVE10"/>
    <s v="Email"/>
    <n v="744.46"/>
  </r>
  <r>
    <s v="ORD200651"/>
    <x v="476"/>
    <s v="C81192"/>
    <x v="3"/>
    <n v="3"/>
    <n v="646.34"/>
    <s v="429 Main St"/>
    <x v="0"/>
    <s v="Pending"/>
    <s v="TRK76931118"/>
    <n v="5"/>
    <s v="NONE"/>
    <s v="Google"/>
    <n v="1939.02"/>
  </r>
  <r>
    <s v="ORD200652"/>
    <x v="477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x v="2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x v="0"/>
    <s v="Returned"/>
    <s v="TRK25748100"/>
    <n v="8"/>
    <s v="NONE"/>
    <s v="Instagram"/>
    <n v="1147.1099999999999"/>
  </r>
  <r>
    <s v="ORD200655"/>
    <x v="369"/>
    <s v="C22101"/>
    <x v="3"/>
    <n v="2"/>
    <n v="132.6"/>
    <s v="262 Main St"/>
    <x v="0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x v="3"/>
    <s v="Shipped"/>
    <s v="TRK85682500"/>
    <n v="7"/>
    <s v="SAVE10"/>
    <s v="Facebook"/>
    <n v="378.12"/>
  </r>
  <r>
    <s v="ORD200657"/>
    <x v="478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x v="3"/>
    <s v="Returned"/>
    <s v="TRK15323191"/>
    <n v="4"/>
    <s v="SAVE10"/>
    <s v="Google"/>
    <n v="92.72"/>
  </r>
  <r>
    <s v="ORD200659"/>
    <x v="48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x v="4"/>
    <s v="Returned"/>
    <s v="TRK85744797"/>
    <n v="3"/>
    <s v="NONE"/>
    <s v="Facebook"/>
    <n v="1316.67"/>
  </r>
  <r>
    <s v="ORD200663"/>
    <x v="116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s v="Shipped"/>
    <s v="TRK46492755"/>
    <n v="5"/>
    <s v="NONE"/>
    <s v="Facebook"/>
    <n v="779"/>
  </r>
  <r>
    <s v="ORD200665"/>
    <x v="468"/>
    <s v="C83653"/>
    <x v="2"/>
    <n v="4"/>
    <n v="231.26"/>
    <s v="253 Main St"/>
    <x v="1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x v="2"/>
    <s v="Cancelled"/>
    <s v="TRK45281495"/>
    <n v="4"/>
    <s v="NONE"/>
    <s v="Email"/>
    <n v="1308.48"/>
  </r>
  <r>
    <s v="ORD200667"/>
    <x v="71"/>
    <s v="C10477"/>
    <x v="5"/>
    <n v="1"/>
    <n v="466.42"/>
    <s v="172 Main St"/>
    <x v="3"/>
    <s v="Pending"/>
    <s v="TRK41505339"/>
    <n v="5"/>
    <s v="SAVE10"/>
    <s v="Email"/>
    <n v="466.42"/>
  </r>
  <r>
    <s v="ORD200668"/>
    <x v="482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x v="0"/>
    <s v="Cancelled"/>
    <s v="TRK65694249"/>
    <n v="5"/>
    <s v="NONE"/>
    <s v="Referral"/>
    <n v="257"/>
  </r>
  <r>
    <s v="ORD200670"/>
    <x v="171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x v="2"/>
    <s v="Delivered"/>
    <s v="TRK95024356"/>
    <n v="7"/>
    <s v="SAVE10"/>
    <s v="Email"/>
    <n v="745.84"/>
  </r>
  <r>
    <s v="ORD200674"/>
    <x v="486"/>
    <s v="C56928"/>
    <x v="5"/>
    <n v="4"/>
    <n v="358.75"/>
    <s v="860 Main St"/>
    <x v="3"/>
    <s v="Delivered"/>
    <s v="TRK57792939"/>
    <n v="9"/>
    <s v="SAVE10"/>
    <s v="Facebook"/>
    <n v="1435"/>
  </r>
  <r>
    <s v="ORD200675"/>
    <x v="76"/>
    <s v="C97749"/>
    <x v="6"/>
    <n v="3"/>
    <n v="342.02"/>
    <s v="906 Main St"/>
    <x v="0"/>
    <s v="Pending"/>
    <s v="TRK90233116"/>
    <n v="5"/>
    <s v="NONE"/>
    <s v="Email"/>
    <n v="1026.06"/>
  </r>
  <r>
    <s v="ORD200676"/>
    <x v="127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x v="2"/>
    <s v="Returned"/>
    <s v="TRK16953491"/>
    <n v="3"/>
    <s v="NONE"/>
    <s v="Facebook"/>
    <n v="1390.17"/>
  </r>
  <r>
    <s v="ORD200681"/>
    <x v="489"/>
    <s v="C38262"/>
    <x v="2"/>
    <n v="1"/>
    <n v="155.27000000000001"/>
    <s v="548 Main St"/>
    <x v="0"/>
    <s v="Shipped"/>
    <s v="TRK47300502"/>
    <n v="6"/>
    <s v="NONE"/>
    <s v="Email"/>
    <n v="155.27000000000001"/>
  </r>
  <r>
    <s v="ORD200682"/>
    <x v="363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s v="Shipped"/>
    <s v="TRK64353241"/>
    <n v="8"/>
    <s v="NONE"/>
    <s v="Email"/>
    <n v="139.36000000000001"/>
  </r>
  <r>
    <s v="ORD200685"/>
    <x v="492"/>
    <s v="C64579"/>
    <x v="6"/>
    <n v="1"/>
    <n v="234.37"/>
    <s v="638 Main St"/>
    <x v="0"/>
    <s v="Shipped"/>
    <s v="TRK10276565"/>
    <n v="5"/>
    <s v="FREESHIP"/>
    <s v="Email"/>
    <n v="234.37"/>
  </r>
  <r>
    <s v="ORD200686"/>
    <x v="112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x v="1"/>
    <s v="Shipped"/>
    <s v="TRK56967415"/>
    <n v="7"/>
    <s v="NONE"/>
    <s v="Facebook"/>
    <n v="889.68"/>
  </r>
  <r>
    <s v="ORD200690"/>
    <x v="494"/>
    <s v="C29318"/>
    <x v="0"/>
    <n v="1"/>
    <n v="24.48"/>
    <s v="128 Main St"/>
    <x v="3"/>
    <s v="Returned"/>
    <s v="TRK88666721"/>
    <n v="1"/>
    <s v="NONE"/>
    <s v="Instagram"/>
    <n v="24.48"/>
  </r>
  <r>
    <s v="ORD200691"/>
    <x v="167"/>
    <s v="C36137"/>
    <x v="5"/>
    <n v="3"/>
    <n v="239.08"/>
    <s v="396 Main St"/>
    <x v="4"/>
    <s v="Shipped"/>
    <s v="TRK57376416"/>
    <n v="8"/>
    <s v="NONE"/>
    <s v="Google"/>
    <n v="717.24"/>
  </r>
  <r>
    <s v="ORD200692"/>
    <x v="19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x v="0"/>
    <s v="Returned"/>
    <s v="TRK10267127"/>
    <n v="4"/>
    <s v="NONE"/>
    <s v="Referral"/>
    <n v="176.58"/>
  </r>
  <r>
    <s v="ORD200694"/>
    <x v="276"/>
    <s v="C92049"/>
    <x v="4"/>
    <n v="4"/>
    <n v="666.52"/>
    <s v="619 Main St"/>
    <x v="4"/>
    <s v="Shipped"/>
    <s v="TRK32287092"/>
    <n v="8"/>
    <s v="FREESHIP"/>
    <s v="Email"/>
    <n v="2666.08"/>
  </r>
  <r>
    <s v="ORD200695"/>
    <x v="432"/>
    <s v="C52604"/>
    <x v="4"/>
    <n v="5"/>
    <n v="101.3"/>
    <s v="553 Main St"/>
    <x v="1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s v="Shipped"/>
    <s v="TRK45025840"/>
    <n v="6"/>
    <s v="WINTER15"/>
    <s v="Email"/>
    <n v="474.25"/>
  </r>
  <r>
    <s v="ORD200698"/>
    <x v="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x v="3"/>
    <s v="Cancelled"/>
    <s v="TRK84088900"/>
    <n v="3"/>
    <s v="NONE"/>
    <s v="Facebook"/>
    <n v="1842.45"/>
  </r>
  <r>
    <s v="ORD200700"/>
    <x v="498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s v="Returned"/>
    <s v="TRK43589369"/>
    <n v="6"/>
    <s v="NONE"/>
    <s v="Email"/>
    <n v="1687.65"/>
  </r>
  <r>
    <s v="ORD200703"/>
    <x v="500"/>
    <s v="C89336"/>
    <x v="6"/>
    <n v="1"/>
    <n v="92.79"/>
    <s v="799 Main St"/>
    <x v="4"/>
    <s v="Pending"/>
    <s v="TRK47665103"/>
    <n v="3"/>
    <s v="WINTER15"/>
    <s v="Email"/>
    <n v="92.79"/>
  </r>
  <r>
    <s v="ORD200704"/>
    <x v="301"/>
    <s v="C96034"/>
    <x v="6"/>
    <n v="4"/>
    <n v="30.27"/>
    <s v="819 Main St"/>
    <x v="1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x v="1"/>
    <s v="Pending"/>
    <s v="TRK37504692"/>
    <n v="4"/>
    <s v="FREESHIP"/>
    <s v="Google"/>
    <n v="386.03"/>
  </r>
  <r>
    <s v="ORD200710"/>
    <x v="319"/>
    <s v="C48790"/>
    <x v="5"/>
    <n v="5"/>
    <n v="21.54"/>
    <s v="113 Main St"/>
    <x v="3"/>
    <s v="Returned"/>
    <s v="TRK19086608"/>
    <n v="10"/>
    <s v="NONE"/>
    <s v="Google"/>
    <n v="107.7"/>
  </r>
  <r>
    <s v="ORD200711"/>
    <x v="502"/>
    <s v="C61070"/>
    <x v="2"/>
    <n v="2"/>
    <n v="475.78"/>
    <s v="632 Main St"/>
    <x v="1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x v="0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x v="2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x v="1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x v="2"/>
    <s v="Delivered"/>
    <s v="TRK56110689"/>
    <n v="2"/>
    <s v="NONE"/>
    <s v="Email"/>
    <n v="237.18"/>
  </r>
  <r>
    <s v="ORD200722"/>
    <x v="64"/>
    <s v="C58156"/>
    <x v="4"/>
    <n v="1"/>
    <n v="95.1"/>
    <s v="516 Main St"/>
    <x v="3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x v="4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x v="3"/>
    <s v="Returned"/>
    <s v="TRK45670926"/>
    <n v="5"/>
    <s v="NONE"/>
    <s v="Referral"/>
    <n v="389.7"/>
  </r>
  <r>
    <s v="ORD200726"/>
    <x v="51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x v="1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x v="3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x v="3"/>
    <s v="Pending"/>
    <s v="TRK92794872"/>
    <n v="6"/>
    <s v="SAVE10"/>
    <s v="Google"/>
    <n v="745.64"/>
  </r>
  <r>
    <s v="ORD200730"/>
    <x v="512"/>
    <s v="C77357"/>
    <x v="1"/>
    <n v="1"/>
    <n v="474.6"/>
    <s v="407 Main St"/>
    <x v="0"/>
    <s v="Delivered"/>
    <s v="TRK91943923"/>
    <n v="4"/>
    <s v="SAVE10"/>
    <s v="Email"/>
    <n v="474.6"/>
  </r>
  <r>
    <s v="ORD200731"/>
    <x v="267"/>
    <s v="C71310"/>
    <x v="4"/>
    <n v="5"/>
    <n v="584.46"/>
    <s v="308 Main St"/>
    <x v="2"/>
    <s v="Returned"/>
    <s v="TRK48292586"/>
    <n v="8"/>
    <s v="NONE"/>
    <s v="Email"/>
    <n v="2922.3"/>
  </r>
  <r>
    <s v="ORD200732"/>
    <x v="456"/>
    <s v="C80987"/>
    <x v="5"/>
    <n v="1"/>
    <n v="132.05000000000001"/>
    <s v="787 Main St"/>
    <x v="1"/>
    <s v="Delivered"/>
    <s v="TRK42187776"/>
    <n v="2"/>
    <s v="NONE"/>
    <s v="Google"/>
    <n v="132.05000000000001"/>
  </r>
  <r>
    <s v="ORD200733"/>
    <x v="513"/>
    <s v="C90757"/>
    <x v="2"/>
    <n v="4"/>
    <n v="494.84"/>
    <s v="694 Main St"/>
    <x v="4"/>
    <s v="Returned"/>
    <s v="TRK87991608"/>
    <n v="8"/>
    <s v="SAVE10"/>
    <s v="Email"/>
    <n v="1979.36"/>
  </r>
  <r>
    <s v="ORD200734"/>
    <x v="514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x v="0"/>
    <s v="Pending"/>
    <s v="TRK13443264"/>
    <n v="6"/>
    <s v="NONE"/>
    <s v="Email"/>
    <n v="176.28"/>
  </r>
  <r>
    <s v="ORD200736"/>
    <x v="516"/>
    <s v="C59441"/>
    <x v="0"/>
    <n v="5"/>
    <n v="418.53"/>
    <s v="696 Main St"/>
    <x v="2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x v="2"/>
    <s v="Shipped"/>
    <s v="TRK44998396"/>
    <n v="5"/>
    <s v="SAVE10"/>
    <s v="Email"/>
    <n v="970.74"/>
  </r>
  <r>
    <s v="ORD200739"/>
    <x v="136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x v="4"/>
    <s v="Pending"/>
    <s v="TRK76154554"/>
    <n v="7"/>
    <s v="NONE"/>
    <s v="Google"/>
    <n v="754.94"/>
  </r>
  <r>
    <s v="ORD200741"/>
    <x v="185"/>
    <s v="C99683"/>
    <x v="0"/>
    <n v="5"/>
    <n v="332.64"/>
    <s v="945 Main St"/>
    <x v="3"/>
    <s v="Delivered"/>
    <s v="TRK87305883"/>
    <n v="10"/>
    <s v="NONE"/>
    <s v="Referral"/>
    <n v="1663.2"/>
  </r>
  <r>
    <s v="ORD200742"/>
    <x v="519"/>
    <s v="C41974"/>
    <x v="5"/>
    <n v="3"/>
    <n v="699.93"/>
    <s v="726 Main St"/>
    <x v="4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x v="4"/>
    <s v="Delivered"/>
    <s v="TRK98725693"/>
    <n v="5"/>
    <s v="SAVE10"/>
    <s v="Google"/>
    <n v="922.74"/>
  </r>
  <r>
    <s v="ORD200745"/>
    <x v="521"/>
    <s v="C73813"/>
    <x v="4"/>
    <n v="4"/>
    <n v="111.3"/>
    <s v="364 Main St"/>
    <x v="0"/>
    <s v="Pending"/>
    <s v="TRK89906749"/>
    <n v="7"/>
    <s v="FREESHIP"/>
    <s v="Email"/>
    <n v="445.2"/>
  </r>
  <r>
    <s v="ORD200746"/>
    <x v="522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x v="2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x v="2"/>
    <s v="Returned"/>
    <s v="TRK10295115"/>
    <n v="7"/>
    <s v="FREESHIP"/>
    <s v="Email"/>
    <n v="581.64"/>
  </r>
  <r>
    <s v="ORD200751"/>
    <x v="16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x v="2"/>
    <s v="Returned"/>
    <s v="TRK52804097"/>
    <n v="3"/>
    <s v="WINTER15"/>
    <s v="Email"/>
    <n v="904.1"/>
  </r>
  <r>
    <s v="ORD200755"/>
    <x v="527"/>
    <s v="C54160"/>
    <x v="6"/>
    <n v="3"/>
    <n v="336.71"/>
    <s v="658 Main St"/>
    <x v="2"/>
    <s v="Pending"/>
    <s v="TRK60515972"/>
    <n v="4"/>
    <s v="NONE"/>
    <s v="Email"/>
    <n v="1010.13"/>
  </r>
  <r>
    <s v="ORD200756"/>
    <x v="326"/>
    <s v="C14080"/>
    <x v="1"/>
    <n v="1"/>
    <n v="283.69"/>
    <s v="202 Main St"/>
    <x v="3"/>
    <s v="Shipped"/>
    <s v="TRK93163682"/>
    <n v="6"/>
    <s v="NONE"/>
    <s v="Google"/>
    <n v="283.69"/>
  </r>
  <r>
    <s v="ORD200757"/>
    <x v="27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x v="0"/>
    <s v="Cancelled"/>
    <s v="TRK73324346"/>
    <n v="5"/>
    <s v="NONE"/>
    <s v="Google"/>
    <n v="39.56"/>
  </r>
  <r>
    <s v="ORD200761"/>
    <x v="454"/>
    <s v="C37235"/>
    <x v="6"/>
    <n v="4"/>
    <n v="37.76"/>
    <s v="217 Main St"/>
    <x v="0"/>
    <s v="Delivered"/>
    <s v="TRK67789367"/>
    <n v="7"/>
    <s v="NONE"/>
    <s v="Google"/>
    <n v="151.04"/>
  </r>
  <r>
    <s v="ORD200762"/>
    <x v="529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x v="1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x v="0"/>
    <s v="Returned"/>
    <s v="TRK96249043"/>
    <n v="5"/>
    <s v="SAVE10"/>
    <s v="Google"/>
    <n v="1069.82"/>
  </r>
  <r>
    <s v="ORD200766"/>
    <x v="55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s v="Delivered"/>
    <s v="TRK80436037"/>
    <n v="7"/>
    <s v="NONE"/>
    <s v="Instagram"/>
    <n v="646.44000000000005"/>
  </r>
  <r>
    <s v="ORD200768"/>
    <x v="355"/>
    <s v="C35987"/>
    <x v="2"/>
    <n v="5"/>
    <n v="653.46"/>
    <s v="165 Main St"/>
    <x v="4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x v="4"/>
    <s v="Delivered"/>
    <s v="TRK98691410"/>
    <n v="5"/>
    <s v="NONE"/>
    <s v="Email"/>
    <n v="2714.2"/>
  </r>
  <r>
    <s v="ORD200770"/>
    <x v="530"/>
    <s v="C72166"/>
    <x v="6"/>
    <n v="1"/>
    <n v="314.38"/>
    <s v="227 Main St"/>
    <x v="1"/>
    <s v="Returned"/>
    <s v="TRK67733444"/>
    <n v="6"/>
    <s v="NONE"/>
    <s v="Google"/>
    <n v="314.38"/>
  </r>
  <r>
    <s v="ORD200771"/>
    <x v="52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s v="Delivered"/>
    <s v="TRK25799478"/>
    <n v="4"/>
    <s v="NONE"/>
    <s v="Instagram"/>
    <n v="604.87"/>
  </r>
  <r>
    <s v="ORD200773"/>
    <x v="164"/>
    <s v="C99205"/>
    <x v="1"/>
    <n v="2"/>
    <n v="512.33000000000004"/>
    <s v="415 Main St"/>
    <x v="4"/>
    <s v="Cancelled"/>
    <s v="TRK48904015"/>
    <n v="7"/>
    <s v="NONE"/>
    <s v="Facebook"/>
    <n v="1024.6600000000001"/>
  </r>
  <r>
    <s v="ORD200774"/>
    <x v="198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x v="1"/>
    <s v="Cancelled"/>
    <s v="TRK22051900"/>
    <n v="5"/>
    <s v="NONE"/>
    <s v="Google"/>
    <n v="1250.44"/>
  </r>
  <r>
    <s v="ORD200776"/>
    <x v="531"/>
    <s v="C69168"/>
    <x v="2"/>
    <n v="1"/>
    <n v="21.19"/>
    <s v="482 Main St"/>
    <x v="4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s v="Cancelled"/>
    <s v="TRK41967983"/>
    <n v="7"/>
    <s v="NONE"/>
    <s v="Facebook"/>
    <n v="322.45"/>
  </r>
  <r>
    <s v="ORD200778"/>
    <x v="200"/>
    <s v="C85059"/>
    <x v="5"/>
    <n v="4"/>
    <n v="246.85"/>
    <s v="316 Main St"/>
    <x v="2"/>
    <s v="Shipped"/>
    <s v="TRK56503740"/>
    <n v="8"/>
    <s v="WINTER15"/>
    <s v="Google"/>
    <n v="987.4"/>
  </r>
  <r>
    <s v="ORD200779"/>
    <x v="142"/>
    <s v="C18076"/>
    <x v="1"/>
    <n v="3"/>
    <n v="588.74"/>
    <s v="751 Main St"/>
    <x v="0"/>
    <s v="Pending"/>
    <s v="TRK26661705"/>
    <n v="8"/>
    <s v="FREESHIP"/>
    <s v="Email"/>
    <n v="1766.22"/>
  </r>
  <r>
    <s v="ORD200780"/>
    <x v="74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x v="2"/>
    <s v="Pending"/>
    <s v="TRK53089983"/>
    <n v="1"/>
    <s v="SAVE10"/>
    <s v="Instagram"/>
    <n v="176.1"/>
  </r>
  <r>
    <s v="ORD200786"/>
    <x v="421"/>
    <s v="C39130"/>
    <x v="3"/>
    <n v="5"/>
    <n v="45.31"/>
    <s v="774 Main St"/>
    <x v="1"/>
    <s v="Cancelled"/>
    <s v="TRK99583414"/>
    <n v="8"/>
    <s v="NONE"/>
    <s v="Referral"/>
    <n v="226.55"/>
  </r>
  <r>
    <s v="ORD200787"/>
    <x v="537"/>
    <s v="C18167"/>
    <x v="6"/>
    <n v="4"/>
    <n v="221.96"/>
    <s v="193 Main St"/>
    <x v="4"/>
    <s v="Delivered"/>
    <s v="TRK36841089"/>
    <n v="7"/>
    <s v="NONE"/>
    <s v="Google"/>
    <n v="887.84"/>
  </r>
  <r>
    <s v="ORD200788"/>
    <x v="208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x v="3"/>
    <s v="Pending"/>
    <s v="TRK96636009"/>
    <n v="4"/>
    <s v="NONE"/>
    <s v="Google"/>
    <n v="1671.56"/>
  </r>
  <r>
    <s v="ORD200791"/>
    <x v="539"/>
    <s v="C49710"/>
    <x v="3"/>
    <n v="4"/>
    <n v="409.28"/>
    <s v="956 Main St"/>
    <x v="4"/>
    <s v="Pending"/>
    <s v="TRK92591237"/>
    <n v="8"/>
    <s v="NONE"/>
    <s v="Email"/>
    <n v="1637.12"/>
  </r>
  <r>
    <s v="ORD200792"/>
    <x v="379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x v="0"/>
    <s v="Delivered"/>
    <s v="TRK69599961"/>
    <n v="8"/>
    <s v="NONE"/>
    <s v="Referral"/>
    <n v="851.1"/>
  </r>
  <r>
    <s v="ORD200794"/>
    <x v="338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x v="0"/>
    <s v="Returned"/>
    <s v="TRK72557318"/>
    <n v="2"/>
    <s v="NONE"/>
    <s v="Facebook"/>
    <n v="877.52"/>
  </r>
  <r>
    <s v="ORD200798"/>
    <x v="542"/>
    <s v="C20861"/>
    <x v="1"/>
    <n v="5"/>
    <n v="488.35"/>
    <s v="968 Main St"/>
    <x v="0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x v="0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x v="3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x v="1"/>
    <s v="Delivered"/>
    <s v="TRK11868618"/>
    <n v="8"/>
    <s v="FREESHIP"/>
    <s v="Email"/>
    <n v="709.5"/>
  </r>
  <r>
    <s v="ORD200805"/>
    <x v="12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x v="1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s v="Shipped"/>
    <s v="TRK80383756"/>
    <n v="3"/>
    <s v="NONE"/>
    <s v="Google"/>
    <n v="402.15"/>
  </r>
  <r>
    <s v="ORD200809"/>
    <x v="398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s v="Cancelled"/>
    <s v="TRK16749863"/>
    <n v="5"/>
    <s v="NONE"/>
    <s v="Referral"/>
    <n v="553.55999999999995"/>
  </r>
  <r>
    <s v="ORD200811"/>
    <x v="212"/>
    <s v="C24769"/>
    <x v="5"/>
    <n v="2"/>
    <n v="28.55"/>
    <s v="864 Main St"/>
    <x v="3"/>
    <s v="Shipped"/>
    <s v="TRK44538305"/>
    <n v="7"/>
    <s v="SAVE10"/>
    <s v="Email"/>
    <n v="57.1"/>
  </r>
  <r>
    <s v="ORD200812"/>
    <x v="547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x v="0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x v="3"/>
    <s v="Returned"/>
    <s v="TRK45123395"/>
    <n v="1"/>
    <s v="SAVE10"/>
    <s v="Google"/>
    <n v="479.56"/>
  </r>
  <r>
    <s v="ORD200823"/>
    <x v="55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x v="1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s v="Delivered"/>
    <s v="TRK70028457"/>
    <n v="5"/>
    <s v="SAVE10"/>
    <s v="Email"/>
    <n v="762.56"/>
  </r>
  <r>
    <s v="ORD200831"/>
    <x v="552"/>
    <s v="C20124"/>
    <x v="4"/>
    <n v="2"/>
    <n v="88.73"/>
    <s v="140 Main St"/>
    <x v="1"/>
    <s v="Pending"/>
    <s v="TRK61346824"/>
    <n v="5"/>
    <s v="NONE"/>
    <s v="Google"/>
    <n v="177.46"/>
  </r>
  <r>
    <s v="ORD200832"/>
    <x v="553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x v="4"/>
    <s v="Returned"/>
    <s v="TRK22084320"/>
    <n v="10"/>
    <s v="NONE"/>
    <s v="Instagram"/>
    <n v="110.7"/>
  </r>
  <r>
    <s v="ORD200835"/>
    <x v="290"/>
    <s v="C16429"/>
    <x v="6"/>
    <n v="1"/>
    <n v="679.65"/>
    <s v="390 Main St"/>
    <x v="0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x v="1"/>
    <s v="Delivered"/>
    <s v="TRK59701278"/>
    <n v="5"/>
    <s v="NONE"/>
    <s v="Email"/>
    <n v="3277.75"/>
  </r>
  <r>
    <s v="ORD200838"/>
    <x v="166"/>
    <s v="C57798"/>
    <x v="6"/>
    <n v="4"/>
    <n v="577.08000000000004"/>
    <s v="384 Main St"/>
    <x v="1"/>
    <s v="Pending"/>
    <s v="TRK68797566"/>
    <n v="8"/>
    <s v="NONE"/>
    <s v="Facebook"/>
    <n v="2308.3200000000002"/>
  </r>
  <r>
    <s v="ORD200839"/>
    <x v="318"/>
    <s v="C82858"/>
    <x v="3"/>
    <n v="3"/>
    <n v="197.97"/>
    <s v="551 Main St"/>
    <x v="1"/>
    <s v="Cancelled"/>
    <s v="TRK90618490"/>
    <n v="5"/>
    <s v="NONE"/>
    <s v="Google"/>
    <n v="593.91"/>
  </r>
  <r>
    <s v="ORD200840"/>
    <x v="555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s v="Delivered"/>
    <s v="TRK51732528"/>
    <n v="5"/>
    <s v="NONE"/>
    <s v="Facebook"/>
    <n v="886.44"/>
  </r>
  <r>
    <s v="ORD200842"/>
    <x v="106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x v="0"/>
    <s v="Cancelled"/>
    <s v="TRK43977698"/>
    <n v="4"/>
    <s v="NONE"/>
    <s v="Referral"/>
    <n v="719.72"/>
  </r>
  <r>
    <s v="ORD200847"/>
    <x v="249"/>
    <s v="C48176"/>
    <x v="4"/>
    <n v="4"/>
    <n v="434.23"/>
    <s v="670 Main St"/>
    <x v="1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x v="1"/>
    <s v="Shipped"/>
    <s v="TRK18049633"/>
    <n v="5"/>
    <s v="NONE"/>
    <s v="Referral"/>
    <n v="1291.7"/>
  </r>
  <r>
    <s v="ORD200849"/>
    <x v="559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x v="1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x v="504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x v="2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x v="0"/>
    <s v="Shipped"/>
    <s v="TRK95768773"/>
    <n v="5"/>
    <s v="NONE"/>
    <s v="Facebook"/>
    <n v="586.62"/>
  </r>
  <r>
    <s v="ORD200857"/>
    <x v="416"/>
    <s v="C56506"/>
    <x v="1"/>
    <n v="3"/>
    <n v="257.83999999999997"/>
    <s v="185 Main St"/>
    <x v="1"/>
    <s v="Delivered"/>
    <s v="TRK86808324"/>
    <n v="4"/>
    <s v="NONE"/>
    <s v="Instagram"/>
    <n v="773.52"/>
  </r>
  <r>
    <s v="ORD200858"/>
    <x v="38"/>
    <s v="C22167"/>
    <x v="2"/>
    <n v="5"/>
    <n v="435.66"/>
    <s v="891 Main St"/>
    <x v="1"/>
    <s v="Pending"/>
    <s v="TRK70269748"/>
    <n v="9"/>
    <s v="NONE"/>
    <s v="Facebook"/>
    <n v="2178.3000000000002"/>
  </r>
  <r>
    <s v="ORD200859"/>
    <x v="562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x v="2"/>
    <s v="Shipped"/>
    <s v="TRK69852386"/>
    <n v="5"/>
    <s v="SAVE10"/>
    <s v="Referral"/>
    <n v="362.46"/>
  </r>
  <r>
    <s v="ORD200863"/>
    <x v="199"/>
    <s v="C98276"/>
    <x v="1"/>
    <n v="1"/>
    <n v="14.06"/>
    <s v="471 Main St"/>
    <x v="2"/>
    <s v="Pending"/>
    <s v="TRK74207282"/>
    <n v="5"/>
    <s v="SAVE10"/>
    <s v="Referral"/>
    <n v="14.06"/>
  </r>
  <r>
    <s v="ORD200864"/>
    <x v="71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x v="4"/>
    <s v="Pending"/>
    <s v="TRK76270481"/>
    <n v="8"/>
    <s v="SAVE10"/>
    <s v="Google"/>
    <n v="2709.48"/>
  </r>
  <r>
    <s v="ORD200866"/>
    <x v="503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s v="Delivered"/>
    <s v="TRK42985882"/>
    <n v="7"/>
    <s v="NONE"/>
    <s v="Facebook"/>
    <n v="1265.28"/>
  </r>
  <r>
    <s v="ORD200869"/>
    <x v="537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x v="0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s v="Shipped"/>
    <s v="TRK90883858"/>
    <n v="7"/>
    <s v="NONE"/>
    <s v="Email"/>
    <n v="2517.36"/>
  </r>
  <r>
    <s v="ORD200873"/>
    <x v="258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s v="Shipped"/>
    <s v="TRK86373987"/>
    <n v="3"/>
    <s v="NONE"/>
    <s v="Instagram"/>
    <n v="1095.3399999999999"/>
  </r>
  <r>
    <s v="ORD200880"/>
    <x v="495"/>
    <s v="C85074"/>
    <x v="5"/>
    <n v="4"/>
    <n v="233.7"/>
    <s v="506 Main St"/>
    <x v="1"/>
    <s v="Shipped"/>
    <s v="TRK63133878"/>
    <n v="8"/>
    <s v="SAVE10"/>
    <s v="Facebook"/>
    <n v="934.8"/>
  </r>
  <r>
    <s v="ORD200881"/>
    <x v="570"/>
    <s v="C59579"/>
    <x v="2"/>
    <n v="2"/>
    <n v="448.85"/>
    <s v="386 Main St"/>
    <x v="2"/>
    <s v="Pending"/>
    <s v="TRK48000034"/>
    <n v="6"/>
    <s v="NONE"/>
    <s v="Instagram"/>
    <n v="897.7"/>
  </r>
  <r>
    <s v="ORD200882"/>
    <x v="164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x v="3"/>
    <s v="Shipped"/>
    <s v="TRK52137079"/>
    <n v="4"/>
    <s v="NONE"/>
    <s v="Instagram"/>
    <n v="595.54"/>
  </r>
  <r>
    <s v="ORD200885"/>
    <x v="158"/>
    <s v="C61090"/>
    <x v="5"/>
    <n v="4"/>
    <n v="515.59"/>
    <s v="387 Main St"/>
    <x v="2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x v="2"/>
    <s v="Returned"/>
    <s v="TRK22046456"/>
    <n v="1"/>
    <s v="NONE"/>
    <s v="Google"/>
    <n v="460.13"/>
  </r>
  <r>
    <s v="ORD200887"/>
    <x v="36"/>
    <s v="C67932"/>
    <x v="3"/>
    <n v="3"/>
    <n v="171.66"/>
    <s v="857 Main St"/>
    <x v="0"/>
    <s v="Delivered"/>
    <s v="TRK88547534"/>
    <n v="7"/>
    <s v="NONE"/>
    <s v="Google"/>
    <n v="514.98"/>
  </r>
  <r>
    <s v="ORD200888"/>
    <x v="572"/>
    <s v="C14427"/>
    <x v="5"/>
    <n v="2"/>
    <n v="266.95"/>
    <s v="833 Main St"/>
    <x v="2"/>
    <s v="Pending"/>
    <s v="TRK58024529"/>
    <n v="3"/>
    <s v="NONE"/>
    <s v="Instagram"/>
    <n v="533.9"/>
  </r>
  <r>
    <s v="ORD200889"/>
    <x v="245"/>
    <s v="C36725"/>
    <x v="0"/>
    <n v="5"/>
    <n v="650.72"/>
    <s v="350 Main St"/>
    <x v="2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x v="0"/>
    <s v="Pending"/>
    <s v="TRK85741716"/>
    <n v="5"/>
    <s v="NONE"/>
    <s v="Google"/>
    <n v="1318.59"/>
  </r>
  <r>
    <s v="ORD200891"/>
    <x v="433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x v="3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x v="4"/>
    <s v="Shipped"/>
    <s v="TRK66662528"/>
    <n v="6"/>
    <s v="NONE"/>
    <s v="Referral"/>
    <n v="475.11"/>
  </r>
  <r>
    <s v="ORD200899"/>
    <x v="577"/>
    <s v="C99904"/>
    <x v="4"/>
    <n v="2"/>
    <n v="323.37"/>
    <s v="552 Main St"/>
    <x v="1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x v="0"/>
    <s v="Pending"/>
    <s v="TRK67342586"/>
    <n v="9"/>
    <s v="NONE"/>
    <s v="Instagram"/>
    <n v="369.15"/>
  </r>
  <r>
    <s v="ORD200901"/>
    <x v="578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x v="0"/>
    <s v="Cancelled"/>
    <s v="TRK76712124"/>
    <n v="7"/>
    <s v="NONE"/>
    <s v="Facebook"/>
    <n v="721"/>
  </r>
  <r>
    <s v="ORD200903"/>
    <x v="209"/>
    <s v="C80868"/>
    <x v="0"/>
    <n v="3"/>
    <n v="473.49"/>
    <s v="205 Main St"/>
    <x v="2"/>
    <s v="Pending"/>
    <s v="TRK56186636"/>
    <n v="7"/>
    <s v="NONE"/>
    <s v="Email"/>
    <n v="1420.47"/>
  </r>
  <r>
    <s v="ORD200904"/>
    <x v="58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x v="4"/>
    <s v="Returned"/>
    <s v="TRK80175572"/>
    <n v="2"/>
    <s v="NONE"/>
    <s v="Email"/>
    <n v="62.12"/>
  </r>
  <r>
    <s v="ORD200907"/>
    <x v="548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x v="2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x v="1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x v="3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s v="Returned"/>
    <s v="TRK13928455"/>
    <n v="6"/>
    <s v="NONE"/>
    <s v="Referral"/>
    <n v="2894.15"/>
  </r>
  <r>
    <s v="ORD200917"/>
    <x v="588"/>
    <s v="C65524"/>
    <x v="5"/>
    <n v="5"/>
    <n v="383.82"/>
    <s v="836 Main St"/>
    <x v="2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x v="1"/>
    <s v="Delivered"/>
    <s v="TRK18250450"/>
    <n v="5"/>
    <s v="NONE"/>
    <s v="Instagram"/>
    <n v="1841.25"/>
  </r>
  <r>
    <s v="ORD200919"/>
    <x v="492"/>
    <s v="C92086"/>
    <x v="4"/>
    <n v="2"/>
    <n v="374.6"/>
    <s v="187 Main St"/>
    <x v="1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x v="2"/>
    <s v="Returned"/>
    <s v="TRK98110407"/>
    <n v="6"/>
    <s v="NONE"/>
    <s v="Instagram"/>
    <n v="856.18"/>
  </r>
  <r>
    <s v="ORD200921"/>
    <x v="528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s v="Pending"/>
    <s v="TRK79737732"/>
    <n v="3"/>
    <s v="NONE"/>
    <s v="Instagram"/>
    <n v="1127.6400000000001"/>
  </r>
  <r>
    <s v="ORD200923"/>
    <x v="91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x v="4"/>
    <s v="Returned"/>
    <s v="TRK55330558"/>
    <n v="5"/>
    <s v="SAVE10"/>
    <s v="Email"/>
    <n v="1342.15"/>
  </r>
  <r>
    <s v="ORD200925"/>
    <x v="59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x v="4"/>
    <s v="Delivered"/>
    <s v="TRK14566395"/>
    <n v="1"/>
    <s v="WINTER15"/>
    <s v="Email"/>
    <n v="26.95"/>
  </r>
  <r>
    <s v="ORD200927"/>
    <x v="592"/>
    <s v="C35566"/>
    <x v="5"/>
    <n v="4"/>
    <n v="64.69"/>
    <s v="638 Main St"/>
    <x v="0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x v="0"/>
    <s v="Pending"/>
    <s v="TRK71803414"/>
    <n v="3"/>
    <s v="NONE"/>
    <s v="Email"/>
    <n v="1072.5"/>
  </r>
  <r>
    <s v="ORD200930"/>
    <x v="393"/>
    <s v="C59554"/>
    <x v="1"/>
    <n v="2"/>
    <n v="456.04"/>
    <s v="382 Main St"/>
    <x v="0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x v="1"/>
    <s v="Shipped"/>
    <s v="TRK43718093"/>
    <n v="2"/>
    <s v="NONE"/>
    <s v="Referral"/>
    <n v="788.32"/>
  </r>
  <r>
    <s v="ORD200934"/>
    <x v="565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x v="1"/>
    <s v="Cancelled"/>
    <s v="TRK91525779"/>
    <n v="4"/>
    <s v="SAVE10"/>
    <s v="Google"/>
    <n v="1221.28"/>
  </r>
  <r>
    <s v="ORD200941"/>
    <x v="15"/>
    <s v="C91155"/>
    <x v="4"/>
    <n v="5"/>
    <n v="111.7"/>
    <s v="599 Main St"/>
    <x v="2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x v="2"/>
    <s v="Pending"/>
    <s v="TRK56070470"/>
    <n v="1"/>
    <s v="NONE"/>
    <s v="Email"/>
    <n v="479.76"/>
  </r>
  <r>
    <s v="ORD200943"/>
    <x v="14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x v="4"/>
    <s v="Shipped"/>
    <s v="TRK20626179"/>
    <n v="4"/>
    <s v="SAVE10"/>
    <s v="Email"/>
    <n v="809.92"/>
  </r>
  <r>
    <s v="ORD200947"/>
    <x v="599"/>
    <s v="C85520"/>
    <x v="1"/>
    <n v="4"/>
    <n v="465.66"/>
    <s v="119 Main St"/>
    <x v="1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s v="Cancelled"/>
    <s v="TRK79269291"/>
    <n v="2"/>
    <s v="NONE"/>
    <s v="Google"/>
    <n v="1188.1400000000001"/>
  </r>
  <r>
    <s v="ORD200949"/>
    <x v="576"/>
    <s v="C55778"/>
    <x v="6"/>
    <n v="5"/>
    <n v="110.38"/>
    <s v="319 Main St"/>
    <x v="4"/>
    <s v="Pending"/>
    <s v="TRK93797108"/>
    <n v="10"/>
    <s v="NONE"/>
    <s v="Referral"/>
    <n v="551.9"/>
  </r>
  <r>
    <s v="ORD200950"/>
    <x v="583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x v="1"/>
    <s v="Returned"/>
    <s v="TRK39845914"/>
    <n v="4"/>
    <s v="FREESHIP"/>
    <s v="Email"/>
    <n v="612.48"/>
  </r>
  <r>
    <s v="ORD200952"/>
    <x v="37"/>
    <s v="C49111"/>
    <x v="0"/>
    <n v="3"/>
    <n v="503.39"/>
    <s v="225 Main St"/>
    <x v="1"/>
    <s v="Pending"/>
    <s v="TRK45303393"/>
    <n v="5"/>
    <s v="NONE"/>
    <s v="Facebook"/>
    <n v="1510.17"/>
  </r>
  <r>
    <s v="ORD200953"/>
    <x v="6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x v="3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x v="3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x v="1"/>
    <s v="Shipped"/>
    <s v="TRK81178598"/>
    <n v="1"/>
    <s v="NONE"/>
    <s v="Facebook"/>
    <n v="601.36"/>
  </r>
  <r>
    <s v="ORD200962"/>
    <x v="605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s v="Shipped"/>
    <s v="TRK42832976"/>
    <n v="9"/>
    <s v="FREESHIP"/>
    <s v="Google"/>
    <n v="2651.7"/>
  </r>
  <r>
    <s v="ORD200964"/>
    <x v="38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x v="2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x v="4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s v="Cancelled"/>
    <s v="TRK52088168"/>
    <n v="5"/>
    <s v="NONE"/>
    <s v="Email"/>
    <n v="1333.9"/>
  </r>
  <r>
    <s v="ORD200975"/>
    <x v="419"/>
    <s v="C70529"/>
    <x v="6"/>
    <n v="1"/>
    <n v="105.92"/>
    <s v="974 Main St"/>
    <x v="3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x v="4"/>
    <s v="Pending"/>
    <s v="TRK99820544"/>
    <n v="8"/>
    <s v="SAVE10"/>
    <s v="Google"/>
    <n v="2597.88"/>
  </r>
  <r>
    <s v="ORD200978"/>
    <x v="611"/>
    <s v="C41508"/>
    <x v="4"/>
    <n v="4"/>
    <n v="107.49"/>
    <s v="993 Main St"/>
    <x v="4"/>
    <s v="Delivered"/>
    <s v="TRK61047536"/>
    <n v="5"/>
    <s v="NONE"/>
    <s v="Google"/>
    <n v="429.96"/>
  </r>
  <r>
    <s v="ORD200979"/>
    <x v="546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x v="3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x v="2"/>
    <s v="Pending"/>
    <s v="TRK67837331"/>
    <n v="7"/>
    <s v="FREESHIP"/>
    <s v="Email"/>
    <n v="2579.84"/>
  </r>
  <r>
    <s v="ORD200987"/>
    <x v="85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x v="0"/>
    <s v="Pending"/>
    <s v="TRK67368559"/>
    <n v="2"/>
    <s v="SAVE10"/>
    <s v="Google"/>
    <n v="836.52"/>
  </r>
  <r>
    <s v="ORD200991"/>
    <x v="593"/>
    <s v="C10211"/>
    <x v="6"/>
    <n v="5"/>
    <n v="127.18"/>
    <s v="598 Main St"/>
    <x v="0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x v="3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x v="4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x v="0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x v="4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s v="Shipped"/>
    <s v="TRK19554327"/>
    <n v="6"/>
    <s v="NONE"/>
    <s v="Referral"/>
    <n v="507.36"/>
  </r>
  <r>
    <s v="ORD201002"/>
    <x v="619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x v="559"/>
    <s v="C87529"/>
    <x v="3"/>
    <n v="4"/>
    <n v="246.91"/>
    <s v="296 Main St"/>
    <x v="1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x v="2"/>
    <s v="Returned"/>
    <s v="TRK11448295"/>
    <n v="6"/>
    <s v="NONE"/>
    <s v="Google"/>
    <n v="1178.55"/>
  </r>
  <r>
    <s v="ORD201006"/>
    <x v="582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x v="2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x v="1"/>
    <s v="Shipped"/>
    <s v="TRK22271097"/>
    <n v="3"/>
    <s v="NONE"/>
    <s v="Google"/>
    <n v="956.72"/>
  </r>
  <r>
    <s v="ORD201012"/>
    <x v="623"/>
    <s v="C84570"/>
    <x v="4"/>
    <n v="4"/>
    <n v="30.05"/>
    <s v="301 Main St"/>
    <x v="1"/>
    <s v="Returned"/>
    <s v="TRK12551882"/>
    <n v="6"/>
    <s v="NONE"/>
    <s v="Facebook"/>
    <n v="120.2"/>
  </r>
  <r>
    <s v="ORD201013"/>
    <x v="624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x v="0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x v="1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x v="4"/>
    <s v="Delivered"/>
    <s v="TRK20703086"/>
    <n v="3"/>
    <s v="NONE"/>
    <s v="Instagram"/>
    <n v="547.43999999999994"/>
  </r>
  <r>
    <s v="ORD201019"/>
    <x v="616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s v="Delivered"/>
    <s v="TRK47787981"/>
    <n v="3"/>
    <s v="SAVE10"/>
    <s v="Instagram"/>
    <n v="53"/>
  </r>
  <r>
    <s v="ORD201021"/>
    <x v="5"/>
    <s v="C74519"/>
    <x v="1"/>
    <n v="3"/>
    <n v="315.27"/>
    <s v="309 Main St"/>
    <x v="2"/>
    <s v="Cancelled"/>
    <s v="TRK97351945"/>
    <n v="4"/>
    <s v="SAVE10"/>
    <s v="Email"/>
    <n v="945.81"/>
  </r>
  <r>
    <s v="ORD201022"/>
    <x v="522"/>
    <s v="C19071"/>
    <x v="2"/>
    <n v="3"/>
    <n v="450.98"/>
    <s v="396 Main St"/>
    <x v="2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x v="4"/>
    <s v="Shipped"/>
    <s v="TRK32059025"/>
    <n v="10"/>
    <s v="NONE"/>
    <s v="Referral"/>
    <n v="1168.3499999999999"/>
  </r>
  <r>
    <s v="ORD201024"/>
    <x v="412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s v="Returned"/>
    <s v="TRK77377373"/>
    <n v="6"/>
    <s v="NONE"/>
    <s v="Google"/>
    <n v="2219.3200000000002"/>
  </r>
  <r>
    <s v="ORD201028"/>
    <x v="96"/>
    <s v="C60042"/>
    <x v="6"/>
    <n v="4"/>
    <n v="440.31"/>
    <s v="610 Main St"/>
    <x v="4"/>
    <s v="Cancelled"/>
    <s v="TRK84651559"/>
    <n v="6"/>
    <s v="NONE"/>
    <s v="Instagram"/>
    <n v="1761.24"/>
  </r>
  <r>
    <s v="ORD201029"/>
    <x v="627"/>
    <s v="C44733"/>
    <x v="6"/>
    <n v="1"/>
    <n v="87.06"/>
    <s v="851 Main St"/>
    <x v="2"/>
    <s v="Shipped"/>
    <s v="TRK41500198"/>
    <n v="4"/>
    <s v="FREESHIP"/>
    <s v="Email"/>
    <n v="87.06"/>
  </r>
  <r>
    <s v="ORD201030"/>
    <x v="276"/>
    <s v="C61773"/>
    <x v="1"/>
    <n v="4"/>
    <n v="245.28"/>
    <s v="176 Main St"/>
    <x v="2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x v="0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x v="4"/>
    <s v="Cancelled"/>
    <s v="TRK97732085"/>
    <n v="5"/>
    <s v="NONE"/>
    <s v="Referral"/>
    <n v="2024.44"/>
  </r>
  <r>
    <s v="ORD201036"/>
    <x v="583"/>
    <s v="C98278"/>
    <x v="1"/>
    <n v="3"/>
    <n v="413.83"/>
    <s v="552 Main St"/>
    <x v="3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x v="4"/>
    <s v="Pending"/>
    <s v="TRK54073964"/>
    <n v="1"/>
    <s v="SAVE10"/>
    <s v="Google"/>
    <n v="249.81"/>
  </r>
  <r>
    <s v="ORD201038"/>
    <x v="175"/>
    <s v="C77961"/>
    <x v="2"/>
    <n v="3"/>
    <n v="362.53"/>
    <s v="422 Main St"/>
    <x v="0"/>
    <s v="Returned"/>
    <s v="TRK28969024"/>
    <n v="5"/>
    <s v="NONE"/>
    <s v="Facebook"/>
    <n v="1087.5899999999999"/>
  </r>
  <r>
    <s v="ORD201039"/>
    <x v="164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s v="Shipped"/>
    <s v="TRK97737564"/>
    <n v="9"/>
    <s v="WINTER15"/>
    <s v="Google"/>
    <n v="2235.6"/>
  </r>
  <r>
    <s v="ORD201042"/>
    <x v="65"/>
    <s v="C59724"/>
    <x v="2"/>
    <n v="2"/>
    <n v="409.75"/>
    <s v="414 Main St"/>
    <x v="0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x v="3"/>
    <s v="Shipped"/>
    <s v="TRK94346739"/>
    <n v="5"/>
    <s v="NONE"/>
    <s v="Instagram"/>
    <n v="359.92"/>
  </r>
  <r>
    <s v="ORD201044"/>
    <x v="45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s v="Returned"/>
    <s v="TRK72012758"/>
    <n v="7"/>
    <s v="NONE"/>
    <s v="Email"/>
    <n v="1582"/>
  </r>
  <r>
    <s v="ORD201046"/>
    <x v="55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s v="Shipped"/>
    <s v="TRK21153699"/>
    <n v="9"/>
    <s v="NONE"/>
    <s v="Google"/>
    <n v="294.60000000000002"/>
  </r>
  <r>
    <s v="ORD201049"/>
    <x v="408"/>
    <s v="C60575"/>
    <x v="6"/>
    <n v="5"/>
    <n v="391.86"/>
    <s v="587 Main St"/>
    <x v="2"/>
    <s v="Shipped"/>
    <s v="TRK44468232"/>
    <n v="6"/>
    <s v="NONE"/>
    <s v="Instagram"/>
    <n v="1959.3"/>
  </r>
  <r>
    <s v="ORD201050"/>
    <x v="38"/>
    <s v="C70659"/>
    <x v="5"/>
    <n v="5"/>
    <n v="69.7"/>
    <s v="722 Main St"/>
    <x v="1"/>
    <s v="Returned"/>
    <s v="TRK49663597"/>
    <n v="9"/>
    <s v="NONE"/>
    <s v="Instagram"/>
    <n v="348.5"/>
  </r>
  <r>
    <s v="ORD201051"/>
    <x v="376"/>
    <s v="C35043"/>
    <x v="0"/>
    <n v="5"/>
    <n v="26.43"/>
    <s v="820 Main St"/>
    <x v="3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x v="1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x v="1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x v="1"/>
    <s v="Pending"/>
    <s v="TRK49382455"/>
    <n v="6"/>
    <s v="SAVE10"/>
    <s v="Referral"/>
    <n v="972.7"/>
  </r>
  <r>
    <s v="ORD201057"/>
    <x v="634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x v="421"/>
    <s v="C13501"/>
    <x v="3"/>
    <n v="5"/>
    <n v="85.52"/>
    <s v="301 Main St"/>
    <x v="3"/>
    <s v="Cancelled"/>
    <s v="TRK65149372"/>
    <n v="5"/>
    <s v="NONE"/>
    <s v="Facebook"/>
    <n v="427.6"/>
  </r>
  <r>
    <s v="ORD201063"/>
    <x v="83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x v="0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x v="1"/>
    <s v="Returned"/>
    <s v="TRK37426359"/>
    <n v="2"/>
    <s v="NONE"/>
    <s v="Instagram"/>
    <n v="632.4"/>
  </r>
  <r>
    <s v="ORD201068"/>
    <x v="24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s v="Returned"/>
    <s v="TRK12518384"/>
    <n v="3"/>
    <s v="NONE"/>
    <s v="Facebook"/>
    <n v="454.23"/>
  </r>
  <r>
    <s v="ORD201070"/>
    <x v="605"/>
    <s v="C46873"/>
    <x v="6"/>
    <n v="4"/>
    <n v="491.29"/>
    <s v="496 Main St"/>
    <x v="0"/>
    <s v="Pending"/>
    <s v="TRK10926575"/>
    <n v="6"/>
    <s v="NONE"/>
    <s v="Email"/>
    <n v="1965.16"/>
  </r>
  <r>
    <s v="ORD201071"/>
    <x v="53"/>
    <s v="C94037"/>
    <x v="1"/>
    <n v="2"/>
    <n v="255.14"/>
    <s v="216 Main St"/>
    <x v="4"/>
    <s v="Shipped"/>
    <s v="TRK47536985"/>
    <n v="2"/>
    <s v="NONE"/>
    <s v="Google"/>
    <n v="510.28"/>
  </r>
  <r>
    <s v="ORD201072"/>
    <x v="297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x v="0"/>
    <s v="Returned"/>
    <s v="TRK11107152"/>
    <n v="4"/>
    <s v="NONE"/>
    <s v="Facebook"/>
    <n v="1448.24"/>
  </r>
  <r>
    <s v="ORD201074"/>
    <x v="451"/>
    <s v="C21437"/>
    <x v="1"/>
    <n v="1"/>
    <n v="222.73"/>
    <s v="120 Main St"/>
    <x v="1"/>
    <s v="Returned"/>
    <s v="TRK81624772"/>
    <n v="4"/>
    <s v="NONE"/>
    <s v="Google"/>
    <n v="222.73"/>
  </r>
  <r>
    <s v="ORD201075"/>
    <x v="169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x v="4"/>
    <s v="Shipped"/>
    <s v="TRK52711973"/>
    <n v="6"/>
    <s v="NONE"/>
    <s v="Referral"/>
    <n v="2746.44"/>
  </r>
  <r>
    <s v="ORD201077"/>
    <x v="456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x v="1"/>
    <s v="Returned"/>
    <s v="TRK90060232"/>
    <n v="4"/>
    <s v="WINTER15"/>
    <s v="Email"/>
    <n v="41.09"/>
  </r>
  <r>
    <s v="ORD201079"/>
    <x v="643"/>
    <s v="C89979"/>
    <x v="1"/>
    <n v="5"/>
    <n v="634"/>
    <s v="144 Main St"/>
    <x v="3"/>
    <s v="Delivered"/>
    <s v="TRK99055909"/>
    <n v="8"/>
    <s v="NONE"/>
    <s v="Email"/>
    <n v="3170"/>
  </r>
  <r>
    <s v="ORD201080"/>
    <x v="325"/>
    <s v="C70613"/>
    <x v="5"/>
    <n v="5"/>
    <n v="464.74"/>
    <s v="438 Main St"/>
    <x v="3"/>
    <s v="Delivered"/>
    <s v="TRK33140293"/>
    <n v="7"/>
    <s v="NONE"/>
    <s v="Referral"/>
    <n v="2323.6999999999998"/>
  </r>
  <r>
    <s v="ORD201081"/>
    <x v="453"/>
    <s v="C55636"/>
    <x v="0"/>
    <n v="4"/>
    <n v="425.6"/>
    <s v="494 Main St"/>
    <x v="2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x v="0"/>
    <s v="Pending"/>
    <s v="TRK59779174"/>
    <n v="5"/>
    <s v="SAVE10"/>
    <s v="Email"/>
    <n v="1719.66"/>
  </r>
  <r>
    <s v="ORD201083"/>
    <x v="644"/>
    <s v="C68508"/>
    <x v="3"/>
    <n v="1"/>
    <n v="123.28"/>
    <s v="895 Main St"/>
    <x v="2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x v="3"/>
    <s v="Shipped"/>
    <s v="TRK66967997"/>
    <n v="2"/>
    <s v="NONE"/>
    <s v="Instagram"/>
    <n v="1199.48"/>
  </r>
  <r>
    <s v="ORD201090"/>
    <x v="641"/>
    <s v="C61225"/>
    <x v="0"/>
    <n v="2"/>
    <n v="650.25"/>
    <s v="996 Main St"/>
    <x v="3"/>
    <s v="Returned"/>
    <s v="TRK37022954"/>
    <n v="6"/>
    <s v="NONE"/>
    <s v="Instagram"/>
    <n v="1300.5"/>
  </r>
  <r>
    <s v="ORD201091"/>
    <x v="192"/>
    <s v="C16400"/>
    <x v="5"/>
    <n v="3"/>
    <n v="209.48"/>
    <s v="123 Main St"/>
    <x v="0"/>
    <s v="Pending"/>
    <s v="TRK57771859"/>
    <n v="4"/>
    <s v="NONE"/>
    <s v="Email"/>
    <n v="628.43999999999994"/>
  </r>
  <r>
    <s v="ORD201092"/>
    <x v="531"/>
    <s v="C38642"/>
    <x v="5"/>
    <n v="5"/>
    <n v="209.2"/>
    <s v="930 Main St"/>
    <x v="0"/>
    <s v="Delivered"/>
    <s v="TRK47744396"/>
    <n v="6"/>
    <s v="WINTER15"/>
    <s v="Email"/>
    <n v="1046"/>
  </r>
  <r>
    <s v="ORD201093"/>
    <x v="308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x v="1"/>
    <s v="Delivered"/>
    <s v="TRK92929755"/>
    <n v="2"/>
    <s v="SAVE10"/>
    <s v="Email"/>
    <n v="883.08"/>
  </r>
  <r>
    <s v="ORD201096"/>
    <x v="120"/>
    <s v="C18169"/>
    <x v="2"/>
    <n v="2"/>
    <n v="464.92"/>
    <s v="782 Main St"/>
    <x v="0"/>
    <s v="Returned"/>
    <s v="TRK49482923"/>
    <n v="2"/>
    <s v="NONE"/>
    <s v="Facebook"/>
    <n v="929.84"/>
  </r>
  <r>
    <s v="ORD201097"/>
    <x v="645"/>
    <s v="C81370"/>
    <x v="0"/>
    <n v="5"/>
    <n v="506.45"/>
    <s v="344 Main St"/>
    <x v="3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x v="2"/>
    <s v="Delivered"/>
    <s v="TRK91653000"/>
    <n v="7"/>
    <s v="NONE"/>
    <s v="Email"/>
    <n v="1023.44"/>
  </r>
  <r>
    <s v="ORD201099"/>
    <x v="556"/>
    <s v="C21953"/>
    <x v="5"/>
    <n v="2"/>
    <n v="125.23"/>
    <s v="272 Main St"/>
    <x v="4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x v="4"/>
    <s v="Pending"/>
    <s v="TRK85871121"/>
    <n v="4"/>
    <s v="SAVE10"/>
    <s v="Email"/>
    <n v="485.91"/>
  </r>
  <r>
    <s v="ORD201102"/>
    <x v="561"/>
    <s v="C98474"/>
    <x v="3"/>
    <n v="4"/>
    <n v="347.17"/>
    <s v="997 Main St"/>
    <x v="0"/>
    <s v="Shipped"/>
    <s v="TRK86192984"/>
    <n v="8"/>
    <s v="NONE"/>
    <s v="Instagram"/>
    <n v="1388.68"/>
  </r>
  <r>
    <s v="ORD201103"/>
    <x v="648"/>
    <s v="C90292"/>
    <x v="5"/>
    <n v="4"/>
    <n v="276.32"/>
    <s v="129 Main St"/>
    <x v="1"/>
    <s v="Delivered"/>
    <s v="TRK26270357"/>
    <n v="5"/>
    <s v="NONE"/>
    <s v="Google"/>
    <n v="1105.28"/>
  </r>
  <r>
    <s v="ORD201104"/>
    <x v="568"/>
    <s v="C17075"/>
    <x v="2"/>
    <n v="4"/>
    <n v="314.76"/>
    <s v="850 Main St"/>
    <x v="1"/>
    <s v="Shipped"/>
    <s v="TRK63547510"/>
    <n v="8"/>
    <s v="NONE"/>
    <s v="Instagram"/>
    <n v="1259.04"/>
  </r>
  <r>
    <s v="ORD201105"/>
    <x v="649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x v="4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x v="1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x v="2"/>
    <s v="Shipped"/>
    <s v="TRK36103184"/>
    <n v="3"/>
    <s v="SAVE10"/>
    <s v="Email"/>
    <n v="252.93"/>
  </r>
  <r>
    <s v="ORD201111"/>
    <x v="306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x v="4"/>
    <s v="Delivered"/>
    <s v="TRK80819053"/>
    <n v="8"/>
    <s v="NONE"/>
    <s v="Google"/>
    <n v="839.96"/>
  </r>
  <r>
    <s v="ORD201114"/>
    <x v="653"/>
    <s v="C55164"/>
    <x v="2"/>
    <n v="3"/>
    <n v="659.88"/>
    <s v="609 Main St"/>
    <x v="3"/>
    <s v="Cancelled"/>
    <s v="TRK79610967"/>
    <n v="3"/>
    <s v="NONE"/>
    <s v="Google"/>
    <n v="1979.64"/>
  </r>
  <r>
    <s v="ORD201115"/>
    <x v="126"/>
    <s v="C70426"/>
    <x v="5"/>
    <n v="2"/>
    <n v="336.32"/>
    <s v="562 Main St"/>
    <x v="1"/>
    <s v="Returned"/>
    <s v="TRK89687816"/>
    <n v="3"/>
    <s v="NONE"/>
    <s v="Google"/>
    <n v="672.64"/>
  </r>
  <r>
    <s v="ORD201116"/>
    <x v="612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x v="2"/>
    <s v="Returned"/>
    <s v="TRK99102265"/>
    <n v="4"/>
    <s v="NONE"/>
    <s v="Email"/>
    <n v="754.43999999999994"/>
  </r>
  <r>
    <s v="ORD201119"/>
    <x v="167"/>
    <s v="C99024"/>
    <x v="5"/>
    <n v="1"/>
    <n v="684.65"/>
    <s v="250 Main St"/>
    <x v="2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x v="1"/>
    <s v="Pending"/>
    <s v="TRK82416295"/>
    <n v="3"/>
    <s v="NONE"/>
    <s v="Facebook"/>
    <n v="195.86"/>
  </r>
  <r>
    <s v="ORD201121"/>
    <x v="654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s v="Returned"/>
    <s v="TRK32496970"/>
    <n v="8"/>
    <s v="NONE"/>
    <s v="Facebook"/>
    <n v="3390.95"/>
  </r>
  <r>
    <s v="ORD201123"/>
    <x v="655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x v="3"/>
    <s v="Returned"/>
    <s v="TRK40245983"/>
    <n v="5"/>
    <s v="NONE"/>
    <s v="Instagram"/>
    <n v="2307.48"/>
  </r>
  <r>
    <s v="ORD201125"/>
    <x v="504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x v="4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s v="Shipped"/>
    <s v="TRK33155049"/>
    <n v="6"/>
    <s v="SAVE10"/>
    <s v="Email"/>
    <n v="1808.25"/>
  </r>
  <r>
    <s v="ORD201128"/>
    <x v="538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x v="2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x v="2"/>
    <s v="Cancelled"/>
    <s v="TRK30406357"/>
    <n v="4"/>
    <s v="SAVE10"/>
    <s v="Email"/>
    <n v="674.64"/>
  </r>
  <r>
    <s v="ORD201133"/>
    <x v="398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x v="1"/>
    <s v="Shipped"/>
    <s v="TRK97793275"/>
    <n v="2"/>
    <s v="SAVE10"/>
    <s v="Google"/>
    <n v="146.82"/>
  </r>
  <r>
    <s v="ORD201136"/>
    <x v="463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s v="Pending"/>
    <s v="TRK55565668"/>
    <n v="4"/>
    <s v="NONE"/>
    <s v="Instagram"/>
    <n v="1177.6400000000001"/>
  </r>
  <r>
    <s v="ORD201139"/>
    <x v="627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s v="Cancelled"/>
    <s v="TRK38297718"/>
    <n v="3"/>
    <s v="NONE"/>
    <s v="Referral"/>
    <n v="1105.6600000000001"/>
  </r>
  <r>
    <s v="ORD201141"/>
    <x v="656"/>
    <s v="C11998"/>
    <x v="3"/>
    <n v="3"/>
    <n v="498.66"/>
    <s v="382 Main St"/>
    <x v="4"/>
    <s v="Cancelled"/>
    <s v="TRK26707221"/>
    <n v="6"/>
    <s v="NONE"/>
    <s v="Email"/>
    <n v="1495.98"/>
  </r>
  <r>
    <s v="ORD201142"/>
    <x v="1"/>
    <s v="C23405"/>
    <x v="1"/>
    <n v="4"/>
    <n v="695.1"/>
    <s v="484 Main St"/>
    <x v="0"/>
    <s v="Returned"/>
    <s v="TRK83678708"/>
    <n v="8"/>
    <s v="NONE"/>
    <s v="Email"/>
    <n v="2780.4"/>
  </r>
  <r>
    <s v="ORD201143"/>
    <x v="659"/>
    <s v="C41132"/>
    <x v="3"/>
    <n v="1"/>
    <n v="381.61"/>
    <s v="114 Main St"/>
    <x v="0"/>
    <s v="Pending"/>
    <s v="TRK51040137"/>
    <n v="5"/>
    <s v="NONE"/>
    <s v="Email"/>
    <n v="381.61"/>
  </r>
  <r>
    <s v="ORD201144"/>
    <x v="223"/>
    <s v="C88463"/>
    <x v="6"/>
    <n v="5"/>
    <n v="507.94"/>
    <s v="292 Main St"/>
    <x v="1"/>
    <s v="Cancelled"/>
    <s v="TRK88749996"/>
    <n v="9"/>
    <s v="NONE"/>
    <s v="Facebook"/>
    <n v="2539.6999999999998"/>
  </r>
  <r>
    <s v="ORD201145"/>
    <x v="275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s v="Returned"/>
    <s v="TRK66241930"/>
    <n v="2"/>
    <s v="SAVE10"/>
    <s v="Email"/>
    <n v="355.15"/>
  </r>
  <r>
    <s v="ORD201149"/>
    <x v="568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s v="Cancelled"/>
    <s v="TRK69804304"/>
    <n v="4"/>
    <s v="NONE"/>
    <s v="Google"/>
    <n v="1216.08"/>
  </r>
  <r>
    <s v="ORD201152"/>
    <x v="576"/>
    <s v="C25162"/>
    <x v="2"/>
    <n v="2"/>
    <n v="344.18"/>
    <s v="533 Main St"/>
    <x v="2"/>
    <s v="Shipped"/>
    <s v="TRK42183078"/>
    <n v="7"/>
    <s v="NONE"/>
    <s v="Referral"/>
    <n v="688.36"/>
  </r>
  <r>
    <s v="ORD201153"/>
    <x v="393"/>
    <s v="C98317"/>
    <x v="0"/>
    <n v="4"/>
    <n v="696.71"/>
    <s v="276 Main St"/>
    <x v="0"/>
    <s v="Shipped"/>
    <s v="TRK37172138"/>
    <n v="4"/>
    <s v="NONE"/>
    <s v="Instagram"/>
    <n v="2786.84"/>
  </r>
  <r>
    <s v="ORD201154"/>
    <x v="113"/>
    <s v="C53631"/>
    <x v="0"/>
    <n v="3"/>
    <n v="198.63"/>
    <s v="593 Main St"/>
    <x v="4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s v="Shipped"/>
    <s v="TRK98234737"/>
    <n v="9"/>
    <s v="NONE"/>
    <s v="Referral"/>
    <n v="2763.12"/>
  </r>
  <r>
    <s v="ORD201157"/>
    <x v="382"/>
    <s v="C25841"/>
    <x v="0"/>
    <n v="3"/>
    <n v="301.55"/>
    <s v="242 Main St"/>
    <x v="0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s v="Pending"/>
    <s v="TRK20605418"/>
    <n v="4"/>
    <s v="SAVE10"/>
    <s v="Referral"/>
    <n v="109.68"/>
  </r>
  <r>
    <s v="ORD201159"/>
    <x v="203"/>
    <s v="C66112"/>
    <x v="6"/>
    <n v="4"/>
    <n v="466.7"/>
    <s v="874 Main St"/>
    <x v="0"/>
    <s v="Returned"/>
    <s v="TRK60955607"/>
    <n v="8"/>
    <s v="NONE"/>
    <s v="Instagram"/>
    <n v="1866.8"/>
  </r>
  <r>
    <s v="ORD201160"/>
    <x v="333"/>
    <s v="C40466"/>
    <x v="6"/>
    <n v="1"/>
    <n v="541.64"/>
    <s v="449 Main St"/>
    <x v="0"/>
    <s v="Shipped"/>
    <s v="TRK70255168"/>
    <n v="5"/>
    <s v="SAVE10"/>
    <s v="Email"/>
    <n v="541.64"/>
  </r>
  <r>
    <s v="ORD201161"/>
    <x v="504"/>
    <s v="C32570"/>
    <x v="1"/>
    <n v="1"/>
    <n v="11.39"/>
    <s v="826 Main St"/>
    <x v="4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x v="0"/>
    <s v="Pending"/>
    <s v="TRK63460217"/>
    <n v="3"/>
    <s v="NONE"/>
    <s v="Google"/>
    <n v="671.37"/>
  </r>
  <r>
    <s v="ORD201166"/>
    <x v="48"/>
    <s v="C95568"/>
    <x v="3"/>
    <n v="3"/>
    <n v="324.47000000000003"/>
    <s v="971 Main St"/>
    <x v="4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s v="Returned"/>
    <s v="TRK40220743"/>
    <n v="7"/>
    <s v="FREESHIP"/>
    <s v="Email"/>
    <n v="1394.38"/>
  </r>
  <r>
    <s v="ORD201171"/>
    <x v="81"/>
    <s v="C39911"/>
    <x v="1"/>
    <n v="4"/>
    <n v="518.4"/>
    <s v="699 Main St"/>
    <x v="2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x v="2"/>
    <s v="Pending"/>
    <s v="TRK32550359"/>
    <n v="8"/>
    <s v="NONE"/>
    <s v="Instagram"/>
    <n v="395.88"/>
  </r>
  <r>
    <s v="ORD201173"/>
    <x v="449"/>
    <s v="C82921"/>
    <x v="0"/>
    <n v="1"/>
    <n v="208.36"/>
    <s v="703 Main St"/>
    <x v="1"/>
    <s v="Shipped"/>
    <s v="TRK31079911"/>
    <n v="4"/>
    <s v="FREESHIP"/>
    <s v="Email"/>
    <n v="208.36"/>
  </r>
  <r>
    <s v="ORD201174"/>
    <x v="110"/>
    <s v="C50159"/>
    <x v="4"/>
    <n v="3"/>
    <n v="222.34"/>
    <s v="105 Main St"/>
    <x v="2"/>
    <s v="Returned"/>
    <s v="TRK53737452"/>
    <n v="5"/>
    <s v="WINTER15"/>
    <s v="Email"/>
    <n v="667.02"/>
  </r>
  <r>
    <s v="ORD201175"/>
    <x v="663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x v="4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x v="3"/>
    <s v="Returned"/>
    <s v="TRK97834202"/>
    <n v="3"/>
    <s v="SAVE10"/>
    <s v="Google"/>
    <n v="840.58"/>
  </r>
  <r>
    <s v="ORD201183"/>
    <x v="228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x v="3"/>
    <s v="Returned"/>
    <s v="TRK86297895"/>
    <n v="4"/>
    <s v="NONE"/>
    <s v="Google"/>
    <n v="204.08"/>
  </r>
  <r>
    <s v="ORD201185"/>
    <x v="665"/>
    <s v="C77344"/>
    <x v="3"/>
    <n v="1"/>
    <n v="343.31"/>
    <s v="777 Main St"/>
    <x v="3"/>
    <s v="Returned"/>
    <s v="TRK20605055"/>
    <n v="6"/>
    <s v="SAVE10"/>
    <s v="Google"/>
    <n v="343.31"/>
  </r>
  <r>
    <s v="ORD201186"/>
    <x v="134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x v="3"/>
    <s v="Delivered"/>
    <s v="TRK59962703"/>
    <n v="7"/>
    <s v="WINTER15"/>
    <s v="Email"/>
    <n v="369.2"/>
  </r>
  <r>
    <s v="ORD201188"/>
    <x v="47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x v="4"/>
    <s v="Cancelled"/>
    <s v="TRK60856682"/>
    <n v="7"/>
    <s v="NONE"/>
    <s v="Referral"/>
    <n v="1946.1"/>
  </r>
  <r>
    <s v="ORD201190"/>
    <x v="647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x v="1"/>
    <s v="Pending"/>
    <s v="TRK16240916"/>
    <n v="4"/>
    <s v="NONE"/>
    <s v="Instagram"/>
    <n v="1298.55"/>
  </r>
  <r>
    <s v="ORD201193"/>
    <x v="667"/>
    <s v="C45104"/>
    <x v="2"/>
    <n v="1"/>
    <n v="687.89"/>
    <s v="348 Main St"/>
    <x v="4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x v="4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x v="1"/>
    <s v="Cancelled"/>
    <s v="TRK69207593"/>
    <n v="5"/>
    <s v="NONE"/>
    <s v="Facebook"/>
    <n v="1325.06"/>
  </r>
  <r>
    <s v="ORD201197"/>
    <x v="669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968FA-79D9-49B0-891B-FE66EC4ABC8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A83B-3EDD-47DE-BAE2-C6BC09C3D76D}">
  <dimension ref="A3:B9"/>
  <sheetViews>
    <sheetView tabSelected="1" workbookViewId="0">
      <selection activeCell="A6" sqref="A3:B9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2" t="s">
        <v>4292</v>
      </c>
      <c r="B3" t="s">
        <v>4294</v>
      </c>
    </row>
    <row r="4" spans="1:2" x14ac:dyDescent="0.35">
      <c r="A4" s="3" t="s">
        <v>3069</v>
      </c>
      <c r="B4" s="4">
        <v>259786.28999999992</v>
      </c>
    </row>
    <row r="5" spans="1:2" x14ac:dyDescent="0.35">
      <c r="A5" s="3" t="s">
        <v>3067</v>
      </c>
      <c r="B5" s="4">
        <v>263847.62999999989</v>
      </c>
    </row>
    <row r="6" spans="1:2" x14ac:dyDescent="0.35">
      <c r="A6" s="3" t="s">
        <v>3065</v>
      </c>
      <c r="B6" s="4">
        <v>232361.17999999996</v>
      </c>
    </row>
    <row r="7" spans="1:2" x14ac:dyDescent="0.35">
      <c r="A7" s="3" t="s">
        <v>3068</v>
      </c>
      <c r="B7" s="4">
        <v>246323.9200000001</v>
      </c>
    </row>
    <row r="8" spans="1:2" x14ac:dyDescent="0.35">
      <c r="A8" s="3" t="s">
        <v>3066</v>
      </c>
      <c r="B8" s="4">
        <v>262442.94000000012</v>
      </c>
    </row>
    <row r="9" spans="1:2" x14ac:dyDescent="0.35">
      <c r="A9" s="3" t="s">
        <v>4293</v>
      </c>
      <c r="B9" s="4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A30" workbookViewId="0">
      <selection activeCell="R7" sqref="R7"/>
    </sheetView>
  </sheetViews>
  <sheetFormatPr defaultRowHeight="14.5" x14ac:dyDescent="0.35"/>
  <cols>
    <col min="12" max="12" width="11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>
        <f>MAX(N2:N1201)</f>
        <v>3456.4</v>
      </c>
    </row>
    <row r="2" spans="1:16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  <c r="P2">
        <f>QUARTILE(N2:N1201,3)+1.5*(QUARTILE(N2:N1201,3)-QUARTILE(N2:N1201,1))</f>
        <v>3330.4074999999998</v>
      </c>
    </row>
    <row r="3" spans="1:16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  <c r="P3">
        <f>COUNTIF(N2:N1201,"&gt;3330.41")</f>
        <v>8</v>
      </c>
    </row>
    <row r="4" spans="1:16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6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6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6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6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6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6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6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6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6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147.41999999999999</v>
      </c>
    </row>
    <row r="14" spans="1:16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6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6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75AC-CE36-4B5A-9B88-2CCA23CDD5FF}">
  <dimension ref="A1:E11"/>
  <sheetViews>
    <sheetView workbookViewId="0">
      <selection activeCell="D18" sqref="A1:XFD1048576"/>
    </sheetView>
  </sheetViews>
  <sheetFormatPr defaultRowHeight="14.5" x14ac:dyDescent="0.35"/>
  <cols>
    <col min="3" max="3" width="28.6328125" customWidth="1"/>
    <col min="4" max="4" width="12.81640625" customWidth="1"/>
    <col min="5" max="5" width="24.36328125" customWidth="1"/>
  </cols>
  <sheetData>
    <row r="1" spans="1:5" x14ac:dyDescent="0.35">
      <c r="A1" t="s">
        <v>4284</v>
      </c>
      <c r="B1" t="s">
        <v>4285</v>
      </c>
      <c r="C1" t="s">
        <v>4286</v>
      </c>
      <c r="D1" t="s">
        <v>4287</v>
      </c>
      <c r="E1" t="s">
        <v>4288</v>
      </c>
    </row>
    <row r="2" spans="1:5" x14ac:dyDescent="0.35">
      <c r="A2" t="s">
        <v>4289</v>
      </c>
      <c r="B2">
        <f>AVERAGE(Sheet1!E2:E1201)</f>
        <v>2.9458333333333333</v>
      </c>
      <c r="C2">
        <f>AVERAGE(Sheet1!F2:F1201)</f>
        <v>356.41275000000007</v>
      </c>
      <c r="D2">
        <f>AVERAGE(Sheet1!K2:K1201)</f>
        <v>5.4850000000000003</v>
      </c>
      <c r="E2">
        <f>AVERAGE(Sheet1!N2:N1201)</f>
        <v>1053.9683000000005</v>
      </c>
    </row>
    <row r="3" spans="1:5" x14ac:dyDescent="0.35">
      <c r="A3" t="s">
        <v>4290</v>
      </c>
      <c r="B3">
        <f>MEDIAN(Sheet1!E2:E1201)</f>
        <v>3</v>
      </c>
      <c r="C3">
        <f>MEDIAN(Sheet1!F2:F1201)</f>
        <v>364.21</v>
      </c>
      <c r="D3">
        <f>MEDIAN(Sheet1!K2:K1201)</f>
        <v>5</v>
      </c>
      <c r="E3">
        <f>MEDIAN(Sheet1!N2:N1201)</f>
        <v>823.61500000000001</v>
      </c>
    </row>
    <row r="4" spans="1:5" x14ac:dyDescent="0.35">
      <c r="A4" t="s">
        <v>4291</v>
      </c>
      <c r="B4">
        <f>COUNT(Sheet1!E2:E1201)</f>
        <v>1200</v>
      </c>
      <c r="C4">
        <f>COUNT(Sheet1!F2:F1201)</f>
        <v>1200</v>
      </c>
      <c r="D4">
        <f>COUNT(Sheet1!K2:K1201)</f>
        <v>1200</v>
      </c>
      <c r="E4">
        <f>COUNT(Sheet1!N2:N1201)</f>
        <v>1200</v>
      </c>
    </row>
    <row r="6" spans="1:5" x14ac:dyDescent="0.35">
      <c r="B6" s="5" t="s">
        <v>4296</v>
      </c>
    </row>
    <row r="7" spans="1:5" x14ac:dyDescent="0.35">
      <c r="A7" t="s">
        <v>4300</v>
      </c>
    </row>
    <row r="8" spans="1:5" x14ac:dyDescent="0.35">
      <c r="A8" t="s">
        <v>4295</v>
      </c>
    </row>
    <row r="9" spans="1:5" x14ac:dyDescent="0.35">
      <c r="A9" t="s">
        <v>4297</v>
      </c>
    </row>
    <row r="10" spans="1:5" x14ac:dyDescent="0.35">
      <c r="A10" t="s">
        <v>4298</v>
      </c>
    </row>
    <row r="11" spans="1:5" x14ac:dyDescent="0.35">
      <c r="A11" t="s">
        <v>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Pivot_Trends.</vt:lpstr>
      <vt:lpstr>Sheet1</vt:lpstr>
      <vt:lpstr>EDA_Summary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semilore sanni</dc:creator>
  <cp:lastModifiedBy>semilore sanni</cp:lastModifiedBy>
  <dcterms:created xsi:type="dcterms:W3CDTF">2026-09-16T22:11:26Z</dcterms:created>
  <dcterms:modified xsi:type="dcterms:W3CDTF">2026-09-23T08:34:07Z</dcterms:modified>
</cp:coreProperties>
</file>